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ummary" sheetId="2" state="visible" r:id="rId4"/>
    <sheet name="Assumptions" sheetId="3" state="visible" r:id="rId5"/>
    <sheet name="Revenue Build" sheetId="4" state="visible" r:id="rId6"/>
    <sheet name="P&amp;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<sst xmlns="http://schemas.openxmlformats.org/spreadsheetml/2006/main" count="514" uniqueCount="250">
  <si>
    <t xml:space="preserve">Beauty Consumer Goods – 5-Year P&amp;L Business Plan Template</t>
  </si>
  <si>
    <t xml:space="preserve">How to use</t>
  </si>
  <si>
    <t xml:space="preserve">1. Assumptions</t>
  </si>
  <si>
    <t xml:space="preserve">Enter your company name, first financial year and all drivers. Only edit yellow cells with blue text.</t>
  </si>
  <si>
    <t xml:space="preserve">2. Revenue Build</t>
  </si>
  <si>
    <t xml:space="preserve">Calculates units × price by category, splits gross sales by channel, and deducts trade discounts, promotions and returns.</t>
  </si>
  <si>
    <t xml:space="preserve">3. P&amp;L</t>
  </si>
  <si>
    <t xml:space="preserve">Full income statement: net revenue → gross profit → EBITDA → EBIT → net profit. No inputs here.</t>
  </si>
  <si>
    <t xml:space="preserve">4. Summary</t>
  </si>
  <si>
    <t xml:space="preserve">Headline KPIs and charts. Check the channel mix flag reads OK.</t>
  </si>
  <si>
    <t xml:space="preserve">Colour legend</t>
  </si>
  <si>
    <t xml:space="preserve">Blue text, yellow fill</t>
  </si>
  <si>
    <t xml:space="preserve">Input – edit these</t>
  </si>
  <si>
    <t xml:space="preserve">Black text</t>
  </si>
  <si>
    <t xml:space="preserve">Formula – do not overwrite</t>
  </si>
  <si>
    <t xml:space="preserve">Green text</t>
  </si>
  <si>
    <t xml:space="preserve">Link pulled from another sheet</t>
  </si>
  <si>
    <t xml:space="preserve">Example data</t>
  </si>
  <si>
    <t xml:space="preserve">Pre-filled values</t>
  </si>
  <si>
    <t xml:space="preserve">All inputs contain illustrative example values for a UK indie beauty brand (e.g. Skincare: 60,000 units in Year 1 at £32 RRP, £4.80 product + packaging cost per unit). Replace them with your own figures.</t>
  </si>
  <si>
    <t xml:space="preserve">Structure of the business</t>
  </si>
  <si>
    <t xml:space="preserve">Product categories</t>
  </si>
  <si>
    <t xml:space="preserve">Skincare, Haircare, Makeup / Colour Cosmetics, Fragrance, Body &amp; Bath – rename on the Assumptions sheet labels if needed.</t>
  </si>
  <si>
    <t xml:space="preserve">Sales channels</t>
  </si>
  <si>
    <t xml:space="preserve">DTC e-commerce, Retail / wholesale, Online marketplaces, International distributors.</t>
  </si>
  <si>
    <t xml:space="preserve">Simplifications</t>
  </si>
  <si>
    <t xml:space="preserve">Tax</t>
  </si>
  <si>
    <t xml:space="preserve">Tax is charged only on positive profit; loss carry-forward is not modelled.</t>
  </si>
  <si>
    <t xml:space="preserve">Depreciation</t>
  </si>
  <si>
    <t xml:space="preserve">Straight-line on cumulative capex over the useful life (assumes life ≥ 5 years).</t>
  </si>
  <si>
    <t xml:space="preserve">Prices</t>
  </si>
  <si>
    <t xml:space="preserve">All figures exclude VAT.</t>
  </si>
  <si>
    <t xml:space="preserve">5-Year Business Plan – Summary</t>
  </si>
  <si>
    <t xml:space="preserve">Key metrics</t>
  </si>
  <si>
    <t xml:space="preserve">Unit</t>
  </si>
  <si>
    <t xml:space="preserve">Net revenue</t>
  </si>
  <si>
    <t xml:space="preserve">£</t>
  </si>
  <si>
    <t xml:space="preserve">Net revenue growth %</t>
  </si>
  <si>
    <t xml:space="preserve">%</t>
  </si>
  <si>
    <t xml:space="preserve">Gross profit</t>
  </si>
  <si>
    <t xml:space="preserve">Gross margin %</t>
  </si>
  <si>
    <t xml:space="preserve">Total operating expenses</t>
  </si>
  <si>
    <t xml:space="preserve">EBITDA</t>
  </si>
  <si>
    <t xml:space="preserve">EBITDA margin %</t>
  </si>
  <si>
    <t xml:space="preserve">Net profit / (loss)</t>
  </si>
  <si>
    <t xml:space="preserve">Net margin %</t>
  </si>
  <si>
    <t xml:space="preserve">Cumulative net profit / (loss)</t>
  </si>
  <si>
    <t xml:space="preserve">Headcount (FTE)</t>
  </si>
  <si>
    <t xml:space="preserve">FTE</t>
  </si>
  <si>
    <t xml:space="preserve">Total units sold</t>
  </si>
  <si>
    <t xml:space="preserve">units</t>
  </si>
  <si>
    <t xml:space="preserve">Net revenue per unit</t>
  </si>
  <si>
    <t xml:space="preserve">£/unit</t>
  </si>
  <si>
    <t xml:space="preserve">Channel mix check (should be 100%)</t>
  </si>
  <si>
    <t xml:space="preserve">Beauty Consumer Goods Co. – Key Assumptions</t>
  </si>
  <si>
    <t xml:space="preserve">All inputs for the 5-year P&amp;L. Edit yellow cells with blue text only; everything else calculates.</t>
  </si>
  <si>
    <t xml:space="preserve">Company name</t>
  </si>
  <si>
    <t xml:space="preserve">[Your Company Ltd]</t>
  </si>
  <si>
    <t xml:space="preserve">Currency</t>
  </si>
  <si>
    <t xml:space="preserve">GBP (£)</t>
  </si>
  <si>
    <t xml:space="preserve">First financial year (FY)</t>
  </si>
  <si>
    <t xml:space="preserve">Year label of the first forecast year; all headers update from this.</t>
  </si>
  <si>
    <t xml:space="preserve">Notes / source</t>
  </si>
  <si>
    <t xml:space="preserve">1. Volume – units sold</t>
  </si>
  <si>
    <t xml:space="preserve">Skincare – units (Year 1)</t>
  </si>
  <si>
    <t xml:space="preserve">Year 1 unit volume. Example value – replace with your own forecast.</t>
  </si>
  <si>
    <t xml:space="preserve">Skincare – unit growth %</t>
  </si>
  <si>
    <t xml:space="preserve">YoY growth in units sold (Years 2–5).</t>
  </si>
  <si>
    <t xml:space="preserve">Haircare – units (Year 1)</t>
  </si>
  <si>
    <t xml:space="preserve">Haircare – unit growth %</t>
  </si>
  <si>
    <t xml:space="preserve">Makeup / Colour Cosmetics – units (Year 1)</t>
  </si>
  <si>
    <t xml:space="preserve">Makeup / Colour Cosmetics – unit growth %</t>
  </si>
  <si>
    <t xml:space="preserve">Fragrance – units (Year 1)</t>
  </si>
  <si>
    <t xml:space="preserve">Fragrance – unit growth %</t>
  </si>
  <si>
    <t xml:space="preserve">Body &amp; Bath – units (Year 1)</t>
  </si>
  <si>
    <t xml:space="preserve">Body &amp; Bath – unit growth %</t>
  </si>
  <si>
    <t xml:space="preserve">2. Pricing – average retail price (RRP, ex-VAT)</t>
  </si>
  <si>
    <t xml:space="preserve">Skincare – avg RRP (Year 1)</t>
  </si>
  <si>
    <t xml:space="preserve">Average selling price to consumer, excluding VAT.</t>
  </si>
  <si>
    <t xml:space="preserve">Haircare – avg RRP (Year 1)</t>
  </si>
  <si>
    <t xml:space="preserve">Makeup / Colour Cosmetics – avg RRP (Year 1)</t>
  </si>
  <si>
    <t xml:space="preserve">Fragrance – avg RRP (Year 1)</t>
  </si>
  <si>
    <t xml:space="preserve">Body &amp; Bath – avg RRP (Year 1)</t>
  </si>
  <si>
    <t xml:space="preserve">Annual price increase</t>
  </si>
  <si>
    <t xml:space="preserve">Applied to all categories' RRP from Year 2.</t>
  </si>
  <si>
    <t xml:space="preserve">3. Channel mix &amp; channel economics</t>
  </si>
  <si>
    <t xml:space="preserve">DTC – own e-commerce – % of gross sales</t>
  </si>
  <si>
    <t xml:space="preserve">Share of gross sales (at RRP) by channel. Must total 100% each year.</t>
  </si>
  <si>
    <t xml:space="preserve">Retail / wholesale – % of gross sales</t>
  </si>
  <si>
    <t xml:space="preserve">Online marketplaces (e.g. Amazon) – % of gross sales</t>
  </si>
  <si>
    <t xml:space="preserve">International distributors – % of gross sales</t>
  </si>
  <si>
    <t xml:space="preserve">Check: channel mix total</t>
  </si>
  <si>
    <t xml:space="preserve">Should equal 100.0%.</t>
  </si>
  <si>
    <t xml:space="preserve">DTC – own e-commerce – trade discount off RRP</t>
  </si>
  <si>
    <t xml:space="preserve">Margin given to retailer / marketplace fee / distributor margin. 0% for own DTC.</t>
  </si>
  <si>
    <t xml:space="preserve">Retail / wholesale – trade discount off RRP</t>
  </si>
  <si>
    <t xml:space="preserve">Online marketplaces (e.g. Amazon) – trade discount off RRP</t>
  </si>
  <si>
    <t xml:space="preserve">International distributors – trade discount off RRP</t>
  </si>
  <si>
    <t xml:space="preserve">Promotions &amp; discounts (all channels)</t>
  </si>
  <si>
    <t xml:space="preserve">% gross</t>
  </si>
  <si>
    <t xml:space="preserve">Promo codes, gift-with-purchase, retailer promo funding.</t>
  </si>
  <si>
    <t xml:space="preserve">Returns &amp; refunds</t>
  </si>
  <si>
    <t xml:space="preserve">Customer returns, damages and refunds.</t>
  </si>
  <si>
    <t xml:space="preserve">4. Cost of goods sold (per unit, Year 1)</t>
  </si>
  <si>
    <t xml:space="preserve">Skincare – formulation / product cost</t>
  </si>
  <si>
    <t xml:space="preserve">Contract manufacturer price incl. fill. Year 1.</t>
  </si>
  <si>
    <t xml:space="preserve">Haircare – formulation / product cost</t>
  </si>
  <si>
    <t xml:space="preserve">Makeup / Colour Cosmetics – formulation / product cost</t>
  </si>
  <si>
    <t xml:space="preserve">Fragrance – formulation / product cost</t>
  </si>
  <si>
    <t xml:space="preserve">Body &amp; Bath – formulation / product cost</t>
  </si>
  <si>
    <t xml:space="preserve">Skincare – packaging cost</t>
  </si>
  <si>
    <t xml:space="preserve">Primary + secondary packaging, labels. Year 1.</t>
  </si>
  <si>
    <t xml:space="preserve">Haircare – packaging cost</t>
  </si>
  <si>
    <t xml:space="preserve">Makeup / Colour Cosmetics – packaging cost</t>
  </si>
  <si>
    <t xml:space="preserve">Fragrance – packaging cost</t>
  </si>
  <si>
    <t xml:space="preserve">Body &amp; Bath – packaging cost</t>
  </si>
  <si>
    <t xml:space="preserve">Unit cost inflation</t>
  </si>
  <si>
    <t xml:space="preserve">Applied to product &amp; packaging cost from Year 2.</t>
  </si>
  <si>
    <t xml:space="preserve">Scale efficiency (unit cost reduction)</t>
  </si>
  <si>
    <t xml:space="preserve">Procurement savings from higher volumes (reduces unit cost).</t>
  </si>
  <si>
    <t xml:space="preserve">Inbound freight &amp; import duties</t>
  </si>
  <si>
    <t xml:space="preserve">% net rev</t>
  </si>
  <si>
    <t xml:space="preserve">Shipping from manufacturer to warehouse, customs duties.</t>
  </si>
  <si>
    <t xml:space="preserve">Warehousing &amp; fulfilment (3PL)</t>
  </si>
  <si>
    <t xml:space="preserve">Pick &amp; pack, outbound delivery, storage.</t>
  </si>
  <si>
    <t xml:space="preserve">Inventory write-offs / obsolescence</t>
  </si>
  <si>
    <t xml:space="preserve">Expired / discontinued stock.</t>
  </si>
  <si>
    <t xml:space="preserve">5. Marketing &amp; selling</t>
  </si>
  <si>
    <t xml:space="preserve">Performance / digital advertising</t>
  </si>
  <si>
    <t xml:space="preserve">Paid social, search, affiliates.</t>
  </si>
  <si>
    <t xml:space="preserve">Influencer, PR &amp; seeding</t>
  </si>
  <si>
    <t xml:space="preserve">Creator partnerships, product seeding, PR agency.</t>
  </si>
  <si>
    <t xml:space="preserve">Trade marketing &amp; retail activation</t>
  </si>
  <si>
    <t xml:space="preserve">% retail rev</t>
  </si>
  <si>
    <t xml:space="preserve">In-store displays, retailer co-op. % of retail/wholesale net revenue.</t>
  </si>
  <si>
    <t xml:space="preserve">Brand, content &amp; creative (fixed)</t>
  </si>
  <si>
    <t xml:space="preserve">Photography, content production, brand agency.</t>
  </si>
  <si>
    <t xml:space="preserve">Payment processing fees</t>
  </si>
  <si>
    <t xml:space="preserve">% DTC rev</t>
  </si>
  <si>
    <t xml:space="preserve">Card / PayPal fees on DTC revenue.</t>
  </si>
  <si>
    <t xml:space="preserve">Sales commissions / agents</t>
  </si>
  <si>
    <t xml:space="preserve">Agent / sales rep commission on retail &amp; distributor revenue.</t>
  </si>
  <si>
    <t xml:space="preserve">6. People</t>
  </si>
  <si>
    <t xml:space="preserve">Leadership – headcount (FTE)</t>
  </si>
  <si>
    <t xml:space="preserve">Average full-time equivalents during the year.</t>
  </si>
  <si>
    <t xml:space="preserve">Sales &amp; Marketing – headcount (FTE)</t>
  </si>
  <si>
    <t xml:space="preserve">Product Development &amp; R&amp;D – headcount (FTE)</t>
  </si>
  <si>
    <t xml:space="preserve">Operations &amp; Supply Chain – headcount (FTE)</t>
  </si>
  <si>
    <t xml:space="preserve">Finance, HR &amp; Admin – headcount (FTE)</t>
  </si>
  <si>
    <t xml:space="preserve">Leadership – avg salary (Year 1)</t>
  </si>
  <si>
    <t xml:space="preserve">£/FTE</t>
  </si>
  <si>
    <t xml:space="preserve">Gross base salary per FTE, Year 1.</t>
  </si>
  <si>
    <t xml:space="preserve">Sales &amp; Marketing – avg salary (Year 1)</t>
  </si>
  <si>
    <t xml:space="preserve">Product Development &amp; R&amp;D – avg salary (Year 1)</t>
  </si>
  <si>
    <t xml:space="preserve">Operations &amp; Supply Chain – avg salary (Year 1)</t>
  </si>
  <si>
    <t xml:space="preserve">Finance, HR &amp; Admin – avg salary (Year 1)</t>
  </si>
  <si>
    <t xml:space="preserve">Annual salary inflation</t>
  </si>
  <si>
    <t xml:space="preserve">Pay rises applied from Year 2.</t>
  </si>
  <si>
    <t xml:space="preserve">Employer on-costs (NI, pension, benefits)</t>
  </si>
  <si>
    <t xml:space="preserve">% salary</t>
  </si>
  <si>
    <t xml:space="preserve">UK employer NIC + pension + benefits.</t>
  </si>
  <si>
    <t xml:space="preserve">Contractors &amp; freelancers</t>
  </si>
  <si>
    <t xml:space="preserve">7. Other operating expenses (£)</t>
  </si>
  <si>
    <t xml:space="preserve">Product development &amp; testing</t>
  </si>
  <si>
    <t xml:space="preserve">New formulations, stability &amp; safety testing.</t>
  </si>
  <si>
    <t xml:space="preserve">Regulatory &amp; compliance</t>
  </si>
  <si>
    <t xml:space="preserve">CPSR safety assessments, UK/EU notifications (SCPN/CPNP), RP fees.</t>
  </si>
  <si>
    <t xml:space="preserve">Rent &amp; facilities</t>
  </si>
  <si>
    <t xml:space="preserve">Office / studio space, utilities.</t>
  </si>
  <si>
    <t xml:space="preserve">Technology &amp; software</t>
  </si>
  <si>
    <t xml:space="preserve">E-commerce platform, ERP, apps, IT.</t>
  </si>
  <si>
    <t xml:space="preserve">Professional fees (legal, accounting)</t>
  </si>
  <si>
    <t xml:space="preserve">Insurance</t>
  </si>
  <si>
    <t xml:space="preserve">Product liability, employer's liability.</t>
  </si>
  <si>
    <t xml:space="preserve">Travel &amp; trade shows</t>
  </si>
  <si>
    <t xml:space="preserve">Other G&amp;A</t>
  </si>
  <si>
    <t xml:space="preserve">Bank charges, subscriptions, sundry.</t>
  </si>
  <si>
    <t xml:space="preserve">8. Depreciation, financing &amp; tax</t>
  </si>
  <si>
    <t xml:space="preserve">Capital expenditure</t>
  </si>
  <si>
    <t xml:space="preserve">Moulds/tooling, equipment, website build, fit-out.</t>
  </si>
  <si>
    <t xml:space="preserve">Useful life of assets</t>
  </si>
  <si>
    <t xml:space="preserve">years</t>
  </si>
  <si>
    <t xml:space="preserve">Straight-line depreciation on cumulative capex.</t>
  </si>
  <si>
    <t xml:space="preserve">Interest expense</t>
  </si>
  <si>
    <t xml:space="preserve">Interest on loans / facilities.</t>
  </si>
  <si>
    <t xml:space="preserve">Corporation tax rate</t>
  </si>
  <si>
    <t xml:space="preserve">UK main rate 25% (2026). Simplified: no tax relief carried forward on losses.</t>
  </si>
  <si>
    <t xml:space="preserve">Revenue &amp; COGS Build</t>
  </si>
  <si>
    <t xml:space="preserve">Volume × price by category, then channel deductions. All calculated – do not edit.</t>
  </si>
  <si>
    <t xml:space="preserve">Units sold</t>
  </si>
  <si>
    <t xml:space="preserve">Skincare</t>
  </si>
  <si>
    <t xml:space="preserve">Haircare</t>
  </si>
  <si>
    <t xml:space="preserve">Makeup / Colour Cosmetics</t>
  </si>
  <si>
    <t xml:space="preserve">Fragrance</t>
  </si>
  <si>
    <t xml:space="preserve">Body &amp; Bath</t>
  </si>
  <si>
    <t xml:space="preserve">Total units</t>
  </si>
  <si>
    <t xml:space="preserve">Average RRP (ex-VAT)</t>
  </si>
  <si>
    <t xml:space="preserve">Gross sales at RRP</t>
  </si>
  <si>
    <t xml:space="preserve">Total gross sales</t>
  </si>
  <si>
    <t xml:space="preserve">Gross sales by channel</t>
  </si>
  <si>
    <t xml:space="preserve">DTC – own e-commerce</t>
  </si>
  <si>
    <t xml:space="preserve">Retail / wholesale</t>
  </si>
  <si>
    <t xml:space="preserve">Online marketplaces (e.g. Amazon)</t>
  </si>
  <si>
    <t xml:space="preserve">International distributors</t>
  </si>
  <si>
    <t xml:space="preserve">Trade discounts by channel</t>
  </si>
  <si>
    <t xml:space="preserve">Total trade discounts</t>
  </si>
  <si>
    <t xml:space="preserve">Net revenue by channel (after trade discount, promotions &amp; returns)</t>
  </si>
  <si>
    <t xml:space="preserve">Total net revenue</t>
  </si>
  <si>
    <t xml:space="preserve">Unit costs (product + packaging)</t>
  </si>
  <si>
    <t xml:space="preserve">Product COGS (units × unit cost)</t>
  </si>
  <si>
    <t xml:space="preserve">Total product COGS</t>
  </si>
  <si>
    <t xml:space="preserve">Product gross margin % by category (on RRP)</t>
  </si>
  <si>
    <t xml:space="preserve">5-Year Profit &amp; Loss Statement</t>
  </si>
  <si>
    <t xml:space="preserve">£, financial years. Fully calculated from Assumptions and Revenue Build.</t>
  </si>
  <si>
    <t xml:space="preserve">Revenue</t>
  </si>
  <si>
    <t xml:space="preserve">Gross sales (at RRP)</t>
  </si>
  <si>
    <t xml:space="preserve">Less: trade discounts &amp; channel margins</t>
  </si>
  <si>
    <t xml:space="preserve">Less: promotions &amp; discounts</t>
  </si>
  <si>
    <t xml:space="preserve">Less: returns &amp; refunds</t>
  </si>
  <si>
    <t xml:space="preserve">  Net revenue growth %</t>
  </si>
  <si>
    <t xml:space="preserve">Cost of sales</t>
  </si>
  <si>
    <t xml:space="preserve">Product &amp; packaging COGS</t>
  </si>
  <si>
    <t xml:space="preserve">Inbound freight &amp; duties</t>
  </si>
  <si>
    <t xml:space="preserve">Warehousing &amp; fulfilment</t>
  </si>
  <si>
    <t xml:space="preserve">Inventory write-offs</t>
  </si>
  <si>
    <t xml:space="preserve">Total cost of sales</t>
  </si>
  <si>
    <t xml:space="preserve">  Gross margin %</t>
  </si>
  <si>
    <t xml:space="preserve">Marketing &amp; selling</t>
  </si>
  <si>
    <t xml:space="preserve">Brand, content &amp; creative</t>
  </si>
  <si>
    <t xml:space="preserve">Sales commissions</t>
  </si>
  <si>
    <t xml:space="preserve">Total marketing &amp; selling</t>
  </si>
  <si>
    <t xml:space="preserve">  Marketing &amp; selling % of net revenue</t>
  </si>
  <si>
    <t xml:space="preserve">People costs</t>
  </si>
  <si>
    <t xml:space="preserve">Leadership</t>
  </si>
  <si>
    <t xml:space="preserve">Sales &amp; Marketing</t>
  </si>
  <si>
    <t xml:space="preserve">Product Development &amp; R&amp;D</t>
  </si>
  <si>
    <t xml:space="preserve">Operations &amp; Supply Chain</t>
  </si>
  <si>
    <t xml:space="preserve">Finance, HR &amp; Admin</t>
  </si>
  <si>
    <t xml:space="preserve">Total people costs</t>
  </si>
  <si>
    <t xml:space="preserve">  Total headcount (FTE)</t>
  </si>
  <si>
    <t xml:space="preserve">Other operating expenses</t>
  </si>
  <si>
    <t xml:space="preserve">Total other operating expenses</t>
  </si>
  <si>
    <t xml:space="preserve">  EBITDA margin %</t>
  </si>
  <si>
    <t xml:space="preserve">Depreciation &amp; amortisation</t>
  </si>
  <si>
    <t xml:space="preserve">Straight-line on cumulative capex (valid while useful life ≥ 5 years).</t>
  </si>
  <si>
    <t xml:space="preserve">EBIT (operating profit)</t>
  </si>
  <si>
    <t xml:space="preserve">Profit before tax</t>
  </si>
  <si>
    <t xml:space="preserve">Corporation tax</t>
  </si>
  <si>
    <t xml:space="preserve">Simplified: no tax charged on losses; losses not carried forward.</t>
  </si>
  <si>
    <t xml:space="preserve">  Net margin 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</si>
</sst>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0.0%;\(0.0%\);\-"/>
    <numFmt numFmtId="167" formatCode="0.0"/>
    <numFmt numFmtId="168" formatCode="#,##0;\(#,##0\);\-"/>
    <numFmt numFmtId="169" formatCode="\£#,##0.00;&quot;(£&quot;#,##0.00\);\-"/>
    <numFmt numFmtId="170" formatCode="\£#,##0"/>
    <numFmt numFmtId="171" formatCode="0%"/>
    <numFmt numFmtId="172" formatCode="0"/>
    <numFmt numFmtId="173" formatCode="0.0;\(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2C6F"/>
      <name val="Arial"/>
      <family val="0"/>
      <charset val="1"/>
    </font>
    <font>
      <b val="true"/>
      <sz val="11"/>
      <color rgb="FF5B2C6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5B2C6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5B2C6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B2C6F"/>
        <bgColor rgb="FF333333"/>
      </patternFill>
    </fill>
    <fill>
      <patternFill patternType="solid">
        <fgColor rgb="FFE8DAEF"/>
        <bgColor rgb="FFD9D9D9"/>
      </patternFill>
    </fill>
    <fill>
      <patternFill patternType="solid">
        <fgColor rgb="FFF4ECF7"/>
        <bgColor rgb="FFE8DAE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BBB59"/>
      <rgbColor rgb="FF808080"/>
      <rgbColor rgb="FF9999FF"/>
      <rgbColor rgb="FFBE4B48"/>
      <rgbColor rgb="FFF4ECF7"/>
      <rgbColor rgb="FFE8DA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C0504D"/>
      <rgbColor rgb="FF5B2C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revenue, gross profit &amp; EBITDA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revenue"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Summary!$C$4:$G$4</c:f>
              <c:multiLvlStrCache>
                <c:ptCount val="1"/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Summary!$C$5:$G$5</c:f>
              <c:numCache>
                <c:formatCode>\£#,##0;"(£"#,##0\);\-</c:formatCode>
                <c:ptCount val="5"/>
                <c:pt idx="0">
                  <c:v>3305262.5</c:v>
                </c:pt>
                <c:pt idx="1">
                  <c:v>4636577.96</c:v>
                </c:pt>
                <c:pt idx="2">
                  <c:v>6239236.445875</c:v>
                </c:pt>
                <c:pt idx="3">
                  <c:v>7649595.89420076</c:v>
                </c:pt>
                <c:pt idx="4">
                  <c:v>9300584.98391768</c:v>
                </c:pt>
              </c:numCache>
            </c:numRef>
          </c:val>
        </c:ser>
        <c:ser>
          <c:idx val="1"/>
          <c:order val="1"/>
          <c:tx>
            <c:strRef>
              <c:f>"Gross profit"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Summary!$C$4:$G$4</c:f>
              <c:multiLvlStrCache>
                <c:ptCount val="1"/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Summary!$C$7:$G$7</c:f>
              <c:numCache>
                <c:formatCode>\£#,##0;"(£"#,##0\);\-</c:formatCode>
                <c:ptCount val="5"/>
                <c:pt idx="0">
                  <c:v>2134578.375</c:v>
                </c:pt>
                <c:pt idx="1">
                  <c:v>2997539.475</c:v>
                </c:pt>
                <c:pt idx="2">
                  <c:v>4127735.05995335</c:v>
                </c:pt>
                <c:pt idx="3">
                  <c:v>5057259.07093542</c:v>
                </c:pt>
                <c:pt idx="4">
                  <c:v>6155981.62218676</c:v>
                </c:pt>
              </c:numCache>
            </c:numRef>
          </c:val>
        </c:ser>
        <c:ser>
          <c:idx val="2"/>
          <c:order val="2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Summary!$C$4:$G$4</c:f>
              <c:multiLvlStrCache>
                <c:ptCount val="1"/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Summary!$C$10:$G$10</c:f>
              <c:numCache>
                <c:formatCode>\£#,##0;"(£"#,##0\);\-</c:formatCode>
                <c:ptCount val="5"/>
                <c:pt idx="0">
                  <c:v>391842.025</c:v>
                </c:pt>
                <c:pt idx="1">
                  <c:v>681622.157</c:v>
                </c:pt>
                <c:pt idx="2">
                  <c:v>1065654.56239684</c:v>
                </c:pt>
                <c:pt idx="3">
                  <c:v>1337604.65811632</c:v>
                </c:pt>
                <c:pt idx="4">
                  <c:v>1969206.32314793</c:v>
                </c:pt>
              </c:numCache>
            </c:numRef>
          </c:val>
        </c:ser>
        <c:gapWidth val="150"/>
        <c:overlap val="0"/>
        <c:axId val="6637135"/>
        <c:axId val="44822076"/>
      </c:barChart>
      <c:catAx>
        <c:axId val="663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22076"/>
        <c:crosses val="autoZero"/>
        <c:auto val="1"/>
        <c:lblAlgn val="ctr"/>
        <c:lblOffset val="100"/>
        <c:noMultiLvlLbl val="0"/>
      </c:catAx>
      <c:valAx>
        <c:axId val="44822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7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"Gross margin %"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Summary!$C$4:$G$4</c:f>
              <c:multiLvlStrCache>
                <c:ptCount val="1"/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Summary!$C$8:$G$8</c:f>
              <c:numCache>
                <c:formatCode>0.0%;\(0.0%\);\-</c:formatCode>
                <c:ptCount val="5"/>
                <c:pt idx="0">
                  <c:v>0.645812057287432</c:v>
                </c:pt>
                <c:pt idx="1">
                  <c:v>0.64649823660034</c:v>
                </c:pt>
                <c:pt idx="2">
                  <c:v>0.661576956693532</c:v>
                </c:pt>
                <c:pt idx="3">
                  <c:v>0.661114540020262</c:v>
                </c:pt>
                <c:pt idx="4">
                  <c:v>0.66189187377262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 margin %"</c:f>
              <c:strCache>
                <c:ptCount val="1"/>
                <c:pt idx="0">
                  <c:v>EBITDA margin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Summary!$C$4:$G$4</c:f>
              <c:multiLvlStrCache>
                <c:ptCount val="1"/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Summary!$C$11:$G$11</c:f>
              <c:numCache>
                <c:formatCode>0.0%;\(0.0%\);\-</c:formatCode>
                <c:ptCount val="5"/>
                <c:pt idx="0">
                  <c:v>0.118550954727499</c:v>
                </c:pt>
                <c:pt idx="1">
                  <c:v>0.147009747896054</c:v>
                </c:pt>
                <c:pt idx="2">
                  <c:v>0.170798874452239</c:v>
                </c:pt>
                <c:pt idx="3">
                  <c:v>0.174859518936206</c:v>
                </c:pt>
                <c:pt idx="4">
                  <c:v>0.211729297302592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"Net margin %"</c:f>
              <c:strCache>
                <c:ptCount val="1"/>
                <c:pt idx="0">
                  <c:v>Net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Summary!$C$4:$G$4</c:f>
              <c:multiLvlStrCache>
                <c:ptCount val="1"/>
                <c:lvl>
                  <c:pt idx="0">
                    <c:v>FY2031</c:v>
                  </c:pt>
                </c:lvl>
                <c:lvl>
                  <c:pt idx="0">
                    <c:v>FY2030</c:v>
                  </c:pt>
                </c:lvl>
                <c:lvl>
                  <c:pt idx="0">
                    <c:v>FY2029</c:v>
                  </c:pt>
                </c:lvl>
                <c:lvl>
                  <c:pt idx="0">
                    <c:v>FY2028</c:v>
                  </c:pt>
                </c:lvl>
                <c:lvl>
                  <c:pt idx="0">
                    <c:v>FY2027</c:v>
                  </c:pt>
                </c:lvl>
              </c:multiLvlStrCache>
            </c:multiLvlStrRef>
          </c:cat>
          <c:val>
            <c:numRef>
              <c:f>Summary!$C$13:$G$13</c:f>
              <c:numCache>
                <c:formatCode>0.0%;\(0.0%\);\-</c:formatCode>
                <c:ptCount val="5"/>
                <c:pt idx="0">
                  <c:v>0.082786622469471</c:v>
                </c:pt>
                <c:pt idx="1">
                  <c:v>0.10459580792857</c:v>
                </c:pt>
                <c:pt idx="2">
                  <c:v>0.122329219034845</c:v>
                </c:pt>
                <c:pt idx="3">
                  <c:v>0.125556108697895</c:v>
                </c:pt>
                <c:pt idx="4">
                  <c:v>0.15315216675338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206651"/>
        <c:axId val="19363767"/>
      </c:lineChart>
      <c:catAx>
        <c:axId val="49206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63767"/>
        <c:crosses val="autoZero"/>
        <c:auto val="1"/>
        <c:lblAlgn val="ctr"/>
        <c:lblOffset val="100"/>
        <c:noMultiLvlLbl val="0"/>
      </c:catAx>
      <c:valAx>
        <c:axId val="19363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06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160560</xdr:rowOff>
    </xdr:from>
    <xdr:to>
      <xdr:col>4</xdr:col>
      <xdr:colOff>558720</xdr:colOff>
      <xdr:row>34</xdr:row>
      <xdr:rowOff>182520</xdr:rowOff>
    </xdr:to>
    <xdr:graphicFrame>
      <xdr:nvGraphicFramePr>
        <xdr:cNvPr id="0" name="Chart 1"/>
        <xdr:cNvGraphicFramePr/>
      </xdr:nvGraphicFramePr>
      <xdr:xfrm>
        <a:off x="0" y="3809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160560</xdr:rowOff>
    </xdr:from>
    <xdr:to>
      <xdr:col>8</xdr:col>
      <xdr:colOff>387720</xdr:colOff>
      <xdr:row>34</xdr:row>
      <xdr:rowOff>182520</xdr:rowOff>
    </xdr:to>
    <xdr:graphicFrame>
      <xdr:nvGraphicFramePr>
        <xdr:cNvPr id="1" name="Chart 2"/>
        <xdr:cNvGraphicFramePr/>
      </xdr:nvGraphicFramePr>
      <xdr:xfrm>
        <a:off x="5920920" y="3809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23.8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5" t="s">
        <v>11</v>
      </c>
      <c r="C11" s="4" t="s">
        <v>12</v>
      </c>
    </row>
    <row r="12" customFormat="false" ht="15" hidden="false" customHeight="false" outlineLevel="0" collapsed="false">
      <c r="B12" s="3" t="s">
        <v>13</v>
      </c>
      <c r="C12" s="4" t="s">
        <v>14</v>
      </c>
    </row>
    <row r="13" customFormat="false" ht="15" hidden="false" customHeight="false" outlineLevel="0" collapsed="false">
      <c r="B13" s="6" t="s">
        <v>15</v>
      </c>
      <c r="C13" s="4" t="s">
        <v>16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2" t="s">
        <v>17</v>
      </c>
    </row>
    <row r="16" customFormat="false" ht="23.85" hidden="false" customHeight="false" outlineLevel="0" collapsed="false">
      <c r="B16" s="3" t="s">
        <v>18</v>
      </c>
      <c r="C16" s="4" t="s">
        <v>19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2" t="s">
        <v>20</v>
      </c>
    </row>
    <row r="19" customFormat="false" ht="23.85" hidden="false" customHeight="false" outlineLevel="0" collapsed="false">
      <c r="B19" s="3" t="s">
        <v>21</v>
      </c>
      <c r="C19" s="4" t="s">
        <v>22</v>
      </c>
    </row>
    <row r="20" customFormat="false" ht="15" hidden="false" customHeight="false" outlineLevel="0" collapsed="false">
      <c r="B20" s="3" t="s">
        <v>23</v>
      </c>
      <c r="C20" s="4" t="s">
        <v>24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2" t="s">
        <v>25</v>
      </c>
    </row>
    <row r="23" customFormat="false" ht="15" hidden="false" customHeight="false" outlineLevel="0" collapsed="false">
      <c r="B23" s="3" t="s">
        <v>26</v>
      </c>
      <c r="C23" s="4" t="s">
        <v>27</v>
      </c>
    </row>
    <row r="24" customFormat="false" ht="15" hidden="false" customHeight="false" outlineLevel="0" collapsed="false">
      <c r="B24" s="3" t="s">
        <v>28</v>
      </c>
      <c r="C24" s="4" t="s">
        <v>29</v>
      </c>
    </row>
    <row r="25" customFormat="false" ht="15" hidden="false" customHeight="false" outlineLevel="0" collapsed="false">
      <c r="B25" s="3" t="s">
        <v>30</v>
      </c>
      <c r="C25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7" t="s">
        <v>32</v>
      </c>
    </row>
    <row r="2" customFormat="false" ht="15" hidden="false" customHeight="false" outlineLevel="0" collapsed="false">
      <c r="A2" s="8" t="str">
        <f aca="false">Assumptions!C4&amp;" | Beauty consumer goods | "&amp;Assumptions!C5</f>
        <v>[Your Company Ltd] | Beauty consumer goods | GBP (£)</v>
      </c>
    </row>
    <row r="4" customFormat="false" ht="15" hidden="false" customHeight="false" outlineLevel="0" collapsed="false">
      <c r="A4" s="9" t="s">
        <v>33</v>
      </c>
      <c r="B4" s="10" t="s">
        <v>34</v>
      </c>
      <c r="C4" s="10" t="str">
        <f aca="false">"FY"&amp;(Assumptions!$C$6+0)</f>
        <v>FY2027</v>
      </c>
      <c r="D4" s="10" t="str">
        <f aca="false">"FY"&amp;(Assumptions!$C$6+1)</f>
        <v>FY2028</v>
      </c>
      <c r="E4" s="10" t="str">
        <f aca="false">"FY"&amp;(Assumptions!$C$6+2)</f>
        <v>FY2029</v>
      </c>
      <c r="F4" s="10" t="str">
        <f aca="false">"FY"&amp;(Assumptions!$C$6+3)</f>
        <v>FY2030</v>
      </c>
      <c r="G4" s="10" t="str">
        <f aca="false">"FY"&amp;(Assumptions!$C$6+4)</f>
        <v>FY2031</v>
      </c>
      <c r="H4" s="10"/>
    </row>
    <row r="5" customFormat="false" ht="15" hidden="false" customHeight="false" outlineLevel="0" collapsed="false">
      <c r="A5" s="3" t="s">
        <v>35</v>
      </c>
      <c r="B5" s="11" t="s">
        <v>36</v>
      </c>
      <c r="C5" s="12" t="n">
        <f aca="false">'P&amp;L'!C10</f>
        <v>3305262.5</v>
      </c>
      <c r="D5" s="12" t="n">
        <f aca="false">'P&amp;L'!D10</f>
        <v>4636577.96</v>
      </c>
      <c r="E5" s="12" t="n">
        <f aca="false">'P&amp;L'!E10</f>
        <v>6239236.445875</v>
      </c>
      <c r="F5" s="12" t="n">
        <f aca="false">'P&amp;L'!F10</f>
        <v>7649595.89420076</v>
      </c>
      <c r="G5" s="12" t="n">
        <f aca="false">'P&amp;L'!G10</f>
        <v>9300584.98391768</v>
      </c>
    </row>
    <row r="6" customFormat="false" ht="15" hidden="false" customHeight="false" outlineLevel="0" collapsed="false">
      <c r="A6" s="13" t="s">
        <v>37</v>
      </c>
      <c r="B6" s="11" t="s">
        <v>38</v>
      </c>
      <c r="D6" s="14" t="n">
        <f aca="false">'P&amp;L'!D11</f>
        <v>0.402786604694786</v>
      </c>
      <c r="E6" s="14" t="n">
        <f aca="false">'P&amp;L'!E11</f>
        <v>0.345655459630188</v>
      </c>
      <c r="F6" s="14" t="n">
        <f aca="false">'P&amp;L'!F11</f>
        <v>0.226046802450996</v>
      </c>
      <c r="G6" s="14" t="n">
        <f aca="false">'P&amp;L'!G11</f>
        <v>0.215826968189071</v>
      </c>
    </row>
    <row r="7" customFormat="false" ht="15" hidden="false" customHeight="false" outlineLevel="0" collapsed="false">
      <c r="A7" s="3" t="s">
        <v>39</v>
      </c>
      <c r="B7" s="11" t="s">
        <v>36</v>
      </c>
      <c r="C7" s="12" t="n">
        <f aca="false">'P&amp;L'!C20</f>
        <v>2134578.375</v>
      </c>
      <c r="D7" s="12" t="n">
        <f aca="false">'P&amp;L'!D20</f>
        <v>2997539.475</v>
      </c>
      <c r="E7" s="12" t="n">
        <f aca="false">'P&amp;L'!E20</f>
        <v>4127735.05995335</v>
      </c>
      <c r="F7" s="12" t="n">
        <f aca="false">'P&amp;L'!F20</f>
        <v>5057259.07093542</v>
      </c>
      <c r="G7" s="12" t="n">
        <f aca="false">'P&amp;L'!G20</f>
        <v>6155981.62218676</v>
      </c>
    </row>
    <row r="8" customFormat="false" ht="15" hidden="false" customHeight="false" outlineLevel="0" collapsed="false">
      <c r="A8" s="13" t="s">
        <v>40</v>
      </c>
      <c r="B8" s="11" t="s">
        <v>38</v>
      </c>
      <c r="C8" s="14" t="n">
        <f aca="false">'P&amp;L'!C21</f>
        <v>0.645812057287432</v>
      </c>
      <c r="D8" s="14" t="n">
        <f aca="false">'P&amp;L'!D21</f>
        <v>0.64649823660034</v>
      </c>
      <c r="E8" s="14" t="n">
        <f aca="false">'P&amp;L'!E21</f>
        <v>0.661576956693532</v>
      </c>
      <c r="F8" s="14" t="n">
        <f aca="false">'P&amp;L'!F21</f>
        <v>0.661114540020262</v>
      </c>
      <c r="G8" s="14" t="n">
        <f aca="false">'P&amp;L'!G21</f>
        <v>0.66189187377262</v>
      </c>
    </row>
    <row r="9" customFormat="false" ht="15" hidden="false" customHeight="false" outlineLevel="0" collapsed="false">
      <c r="A9" s="3" t="s">
        <v>41</v>
      </c>
      <c r="B9" s="11" t="s">
        <v>36</v>
      </c>
      <c r="C9" s="12" t="n">
        <f aca="false">'P&amp;L'!C54</f>
        <v>1742736.35</v>
      </c>
      <c r="D9" s="12" t="n">
        <f aca="false">'P&amp;L'!D54</f>
        <v>2315917.318</v>
      </c>
      <c r="E9" s="12" t="n">
        <f aca="false">'P&amp;L'!E54</f>
        <v>3062080.49755651</v>
      </c>
      <c r="F9" s="12" t="n">
        <f aca="false">'P&amp;L'!F54</f>
        <v>3719654.4128191</v>
      </c>
      <c r="G9" s="12" t="n">
        <f aca="false">'P&amp;L'!G54</f>
        <v>4186775.29903884</v>
      </c>
    </row>
    <row r="10" customFormat="false" ht="15" hidden="false" customHeight="false" outlineLevel="0" collapsed="false">
      <c r="A10" s="3" t="s">
        <v>42</v>
      </c>
      <c r="B10" s="11" t="s">
        <v>36</v>
      </c>
      <c r="C10" s="12" t="n">
        <f aca="false">'P&amp;L'!C56</f>
        <v>391842.025</v>
      </c>
      <c r="D10" s="12" t="n">
        <f aca="false">'P&amp;L'!D56</f>
        <v>681622.157</v>
      </c>
      <c r="E10" s="12" t="n">
        <f aca="false">'P&amp;L'!E56</f>
        <v>1065654.56239684</v>
      </c>
      <c r="F10" s="12" t="n">
        <f aca="false">'P&amp;L'!F56</f>
        <v>1337604.65811632</v>
      </c>
      <c r="G10" s="12" t="n">
        <f aca="false">'P&amp;L'!G56</f>
        <v>1969206.32314793</v>
      </c>
    </row>
    <row r="11" customFormat="false" ht="15" hidden="false" customHeight="false" outlineLevel="0" collapsed="false">
      <c r="A11" s="13" t="s">
        <v>43</v>
      </c>
      <c r="B11" s="11" t="s">
        <v>38</v>
      </c>
      <c r="C11" s="14" t="n">
        <f aca="false">'P&amp;L'!C57</f>
        <v>0.118550954727499</v>
      </c>
      <c r="D11" s="14" t="n">
        <f aca="false">'P&amp;L'!D57</f>
        <v>0.147009747896054</v>
      </c>
      <c r="E11" s="14" t="n">
        <f aca="false">'P&amp;L'!E57</f>
        <v>0.170798874452239</v>
      </c>
      <c r="F11" s="14" t="n">
        <f aca="false">'P&amp;L'!F57</f>
        <v>0.174859518936206</v>
      </c>
      <c r="G11" s="14" t="n">
        <f aca="false">'P&amp;L'!G57</f>
        <v>0.211729297302592</v>
      </c>
    </row>
    <row r="12" customFormat="false" ht="15" hidden="false" customHeight="false" outlineLevel="0" collapsed="false">
      <c r="A12" s="3" t="s">
        <v>44</v>
      </c>
      <c r="B12" s="11" t="s">
        <v>36</v>
      </c>
      <c r="C12" s="12" t="n">
        <f aca="false">'P&amp;L'!C63</f>
        <v>273631.51875</v>
      </c>
      <c r="D12" s="12" t="n">
        <f aca="false">'P&amp;L'!D63</f>
        <v>484966.61775</v>
      </c>
      <c r="E12" s="12" t="n">
        <f aca="false">'P&amp;L'!E63</f>
        <v>763240.921797628</v>
      </c>
      <c r="F12" s="12" t="n">
        <f aca="false">'P&amp;L'!F63</f>
        <v>960453.493587242</v>
      </c>
      <c r="G12" s="12" t="n">
        <f aca="false">'P&amp;L'!G63</f>
        <v>1424404.74236094</v>
      </c>
    </row>
    <row r="13" customFormat="false" ht="15" hidden="false" customHeight="false" outlineLevel="0" collapsed="false">
      <c r="A13" s="13" t="s">
        <v>45</v>
      </c>
      <c r="B13" s="11" t="s">
        <v>38</v>
      </c>
      <c r="C13" s="14" t="n">
        <f aca="false">'P&amp;L'!C64</f>
        <v>0.082786622469471</v>
      </c>
      <c r="D13" s="14" t="n">
        <f aca="false">'P&amp;L'!D64</f>
        <v>0.10459580792857</v>
      </c>
      <c r="E13" s="14" t="n">
        <f aca="false">'P&amp;L'!E64</f>
        <v>0.122329219034845</v>
      </c>
      <c r="F13" s="14" t="n">
        <f aca="false">'P&amp;L'!F64</f>
        <v>0.125556108697895</v>
      </c>
      <c r="G13" s="14" t="n">
        <f aca="false">'P&amp;L'!G64</f>
        <v>0.15315216675338</v>
      </c>
    </row>
    <row r="14" customFormat="false" ht="15" hidden="false" customHeight="false" outlineLevel="0" collapsed="false">
      <c r="A14" s="3" t="s">
        <v>46</v>
      </c>
      <c r="B14" s="11" t="s">
        <v>36</v>
      </c>
      <c r="C14" s="12" t="n">
        <f aca="false">'P&amp;L'!C65</f>
        <v>273631.51875</v>
      </c>
      <c r="D14" s="12" t="n">
        <f aca="false">'P&amp;L'!D65</f>
        <v>758598.1365</v>
      </c>
      <c r="E14" s="12" t="n">
        <f aca="false">'P&amp;L'!E65</f>
        <v>1521839.05829763</v>
      </c>
      <c r="F14" s="12" t="n">
        <f aca="false">'P&amp;L'!F65</f>
        <v>2482292.55188487</v>
      </c>
      <c r="G14" s="12" t="n">
        <f aca="false">'P&amp;L'!G65</f>
        <v>3906697.29424581</v>
      </c>
    </row>
    <row r="15" customFormat="false" ht="15" hidden="false" customHeight="false" outlineLevel="0" collapsed="false">
      <c r="A15" s="13" t="s">
        <v>47</v>
      </c>
      <c r="B15" s="11" t="s">
        <v>48</v>
      </c>
      <c r="C15" s="15" t="n">
        <f aca="false">'P&amp;L'!C41</f>
        <v>8</v>
      </c>
      <c r="D15" s="15" t="n">
        <f aca="false">'P&amp;L'!D41</f>
        <v>12</v>
      </c>
      <c r="E15" s="15" t="n">
        <f aca="false">'P&amp;L'!E41</f>
        <v>18</v>
      </c>
      <c r="F15" s="15" t="n">
        <f aca="false">'P&amp;L'!F41</f>
        <v>23</v>
      </c>
      <c r="G15" s="15" t="n">
        <f aca="false">'P&amp;L'!G41</f>
        <v>26</v>
      </c>
    </row>
    <row r="16" customFormat="false" ht="15" hidden="false" customHeight="false" outlineLevel="0" collapsed="false">
      <c r="A16" s="13" t="s">
        <v>49</v>
      </c>
      <c r="B16" s="11" t="s">
        <v>50</v>
      </c>
      <c r="C16" s="16" t="n">
        <f aca="false">'Revenue Build'!C11</f>
        <v>184000</v>
      </c>
      <c r="D16" s="16" t="n">
        <f aca="false">'Revenue Build'!D11</f>
        <v>257250</v>
      </c>
      <c r="E16" s="16" t="n">
        <f aca="false">'Revenue Build'!E11</f>
        <v>339225</v>
      </c>
      <c r="F16" s="16" t="n">
        <f aca="false">'Revenue Build'!F11</f>
        <v>418996.25</v>
      </c>
      <c r="G16" s="16" t="n">
        <f aca="false">'Revenue Build'!G11</f>
        <v>496848</v>
      </c>
    </row>
    <row r="17" customFormat="false" ht="15" hidden="false" customHeight="false" outlineLevel="0" collapsed="false">
      <c r="A17" s="13" t="s">
        <v>51</v>
      </c>
      <c r="B17" s="11" t="s">
        <v>52</v>
      </c>
      <c r="C17" s="17" t="n">
        <f aca="false">IFERROR('P&amp;L'!C10/'Revenue Build'!C11,0)</f>
        <v>17.9633831521739</v>
      </c>
      <c r="D17" s="17" t="n">
        <f aca="false">IFERROR('P&amp;L'!D10/'Revenue Build'!D11,0)</f>
        <v>18.0236266666667</v>
      </c>
      <c r="E17" s="17" t="n">
        <f aca="false">IFERROR('P&amp;L'!E10/'Revenue Build'!E11,0)</f>
        <v>18.3926197829612</v>
      </c>
      <c r="F17" s="17" t="n">
        <f aca="false">IFERROR('P&amp;L'!F10/'Revenue Build'!F11,0)</f>
        <v>18.2569555078375</v>
      </c>
      <c r="G17" s="17" t="n">
        <f aca="false">IFERROR('P&amp;L'!G10/'Revenue Build'!G11,0)</f>
        <v>18.7191756511401</v>
      </c>
    </row>
    <row r="18" customFormat="false" ht="15" hidden="false" customHeight="false" outlineLevel="0" collapsed="false">
      <c r="A18" s="13" t="s">
        <v>53</v>
      </c>
      <c r="B18" s="11" t="s">
        <v>38</v>
      </c>
      <c r="C18" s="14" t="n">
        <f aca="false">Assumptions!C34</f>
        <v>1</v>
      </c>
      <c r="D18" s="14" t="n">
        <f aca="false">Assumptions!D34</f>
        <v>1</v>
      </c>
      <c r="E18" s="14" t="n">
        <f aca="false">Assumptions!E34</f>
        <v>1</v>
      </c>
      <c r="F18" s="14" t="n">
        <f aca="false">Assumptions!F34</f>
        <v>1</v>
      </c>
      <c r="G18" s="14" t="n">
        <f aca="false">Assumptions!G34</f>
        <v>1</v>
      </c>
      <c r="H18" s="18" t="str">
        <f aca="false">IF(SUMPRODUCT(--(ROUND(Assumptions!C34:G34,4)&lt;&gt;1))=0,"OK","CHECK CHANNEL MIX")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7" t="s">
        <v>54</v>
      </c>
    </row>
    <row r="2" customFormat="false" ht="15" hidden="false" customHeight="false" outlineLevel="0" collapsed="false">
      <c r="A2" s="8" t="s">
        <v>55</v>
      </c>
    </row>
    <row r="4" customFormat="false" ht="15" hidden="false" customHeight="false" outlineLevel="0" collapsed="false">
      <c r="A4" s="0" t="s">
        <v>56</v>
      </c>
      <c r="C4" s="5" t="s">
        <v>57</v>
      </c>
    </row>
    <row r="5" customFormat="false" ht="15" hidden="false" customHeight="false" outlineLevel="0" collapsed="false">
      <c r="A5" s="0" t="s">
        <v>58</v>
      </c>
      <c r="C5" s="5" t="s">
        <v>59</v>
      </c>
    </row>
    <row r="6" customFormat="false" ht="15" hidden="false" customHeight="false" outlineLevel="0" collapsed="false">
      <c r="A6" s="0" t="s">
        <v>60</v>
      </c>
      <c r="C6" s="19" t="n">
        <v>2027</v>
      </c>
      <c r="H6" s="20" t="s">
        <v>61</v>
      </c>
    </row>
    <row r="8" customFormat="false" ht="15" hidden="false" customHeight="false" outlineLevel="0" collapsed="false">
      <c r="A8" s="9"/>
      <c r="B8" s="10" t="s">
        <v>34</v>
      </c>
      <c r="C8" s="10" t="str">
        <f aca="false">"FY"&amp;(Assumptions!$C$6+0)</f>
        <v>FY2027</v>
      </c>
      <c r="D8" s="10" t="str">
        <f aca="false">"FY"&amp;(Assumptions!$C$6+1)</f>
        <v>FY2028</v>
      </c>
      <c r="E8" s="10" t="str">
        <f aca="false">"FY"&amp;(Assumptions!$C$6+2)</f>
        <v>FY2029</v>
      </c>
      <c r="F8" s="10" t="str">
        <f aca="false">"FY"&amp;(Assumptions!$C$6+3)</f>
        <v>FY2030</v>
      </c>
      <c r="G8" s="10" t="str">
        <f aca="false">"FY"&amp;(Assumptions!$C$6+4)</f>
        <v>FY2031</v>
      </c>
      <c r="H8" s="10" t="s">
        <v>62</v>
      </c>
    </row>
    <row r="9" customFormat="false" ht="15" hidden="false" customHeight="false" outlineLevel="0" collapsed="false">
      <c r="A9" s="21" t="s">
        <v>63</v>
      </c>
      <c r="B9" s="21"/>
      <c r="C9" s="21"/>
      <c r="D9" s="21"/>
      <c r="E9" s="21"/>
      <c r="F9" s="21"/>
      <c r="G9" s="21"/>
      <c r="H9" s="21"/>
    </row>
    <row r="10" customFormat="false" ht="15" hidden="false" customHeight="false" outlineLevel="0" collapsed="false">
      <c r="A10" s="13" t="s">
        <v>64</v>
      </c>
      <c r="B10" s="11" t="s">
        <v>50</v>
      </c>
      <c r="C10" s="22" t="n">
        <v>70000</v>
      </c>
      <c r="H10" s="23" t="s">
        <v>65</v>
      </c>
    </row>
    <row r="11" customFormat="false" ht="15" hidden="false" customHeight="false" outlineLevel="0" collapsed="false">
      <c r="A11" s="13" t="s">
        <v>66</v>
      </c>
      <c r="B11" s="11" t="s">
        <v>38</v>
      </c>
      <c r="D11" s="24" t="n">
        <v>0.45</v>
      </c>
      <c r="E11" s="24" t="n">
        <v>0.35</v>
      </c>
      <c r="F11" s="24" t="n">
        <v>0.25</v>
      </c>
      <c r="G11" s="24" t="n">
        <v>0.2</v>
      </c>
      <c r="H11" s="23" t="s">
        <v>67</v>
      </c>
    </row>
    <row r="12" customFormat="false" ht="15" hidden="false" customHeight="false" outlineLevel="0" collapsed="false">
      <c r="A12" s="13" t="s">
        <v>68</v>
      </c>
      <c r="B12" s="11" t="s">
        <v>50</v>
      </c>
      <c r="C12" s="22" t="n">
        <v>35000</v>
      </c>
      <c r="H12" s="23" t="s">
        <v>65</v>
      </c>
    </row>
    <row r="13" customFormat="false" ht="15" hidden="false" customHeight="false" outlineLevel="0" collapsed="false">
      <c r="A13" s="13" t="s">
        <v>69</v>
      </c>
      <c r="B13" s="11" t="s">
        <v>38</v>
      </c>
      <c r="D13" s="24" t="n">
        <v>0.4</v>
      </c>
      <c r="E13" s="24" t="n">
        <v>0.3</v>
      </c>
      <c r="F13" s="24" t="n">
        <v>0.25</v>
      </c>
      <c r="G13" s="24" t="n">
        <v>0.2</v>
      </c>
      <c r="H13" s="23" t="s">
        <v>67</v>
      </c>
    </row>
    <row r="14" customFormat="false" ht="15" hidden="false" customHeight="false" outlineLevel="0" collapsed="false">
      <c r="A14" s="13" t="s">
        <v>70</v>
      </c>
      <c r="B14" s="11" t="s">
        <v>50</v>
      </c>
      <c r="C14" s="22" t="n">
        <v>45000</v>
      </c>
      <c r="H14" s="23" t="s">
        <v>65</v>
      </c>
    </row>
    <row r="15" customFormat="false" ht="15" hidden="false" customHeight="false" outlineLevel="0" collapsed="false">
      <c r="A15" s="13" t="s">
        <v>71</v>
      </c>
      <c r="B15" s="11" t="s">
        <v>38</v>
      </c>
      <c r="D15" s="24" t="n">
        <v>0.35</v>
      </c>
      <c r="E15" s="24" t="n">
        <v>0.3</v>
      </c>
      <c r="F15" s="24" t="n">
        <v>0.2</v>
      </c>
      <c r="G15" s="24" t="n">
        <v>0.15</v>
      </c>
      <c r="H15" s="23" t="s">
        <v>67</v>
      </c>
    </row>
    <row r="16" customFormat="false" ht="15" hidden="false" customHeight="false" outlineLevel="0" collapsed="false">
      <c r="A16" s="13" t="s">
        <v>72</v>
      </c>
      <c r="B16" s="11" t="s">
        <v>50</v>
      </c>
      <c r="C16" s="22" t="n">
        <v>9000</v>
      </c>
      <c r="H16" s="23" t="s">
        <v>65</v>
      </c>
    </row>
    <row r="17" customFormat="false" ht="15" hidden="false" customHeight="false" outlineLevel="0" collapsed="false">
      <c r="A17" s="13" t="s">
        <v>73</v>
      </c>
      <c r="B17" s="11" t="s">
        <v>38</v>
      </c>
      <c r="D17" s="24" t="n">
        <v>0.5</v>
      </c>
      <c r="E17" s="24" t="n">
        <v>0.4</v>
      </c>
      <c r="F17" s="24" t="n">
        <v>0.3</v>
      </c>
      <c r="G17" s="24" t="n">
        <v>0.25</v>
      </c>
      <c r="H17" s="23" t="s">
        <v>67</v>
      </c>
    </row>
    <row r="18" customFormat="false" ht="15" hidden="false" customHeight="false" outlineLevel="0" collapsed="false">
      <c r="A18" s="13" t="s">
        <v>74</v>
      </c>
      <c r="B18" s="11" t="s">
        <v>50</v>
      </c>
      <c r="C18" s="22" t="n">
        <v>25000</v>
      </c>
      <c r="H18" s="23" t="s">
        <v>65</v>
      </c>
    </row>
    <row r="19" customFormat="false" ht="15" hidden="false" customHeight="false" outlineLevel="0" collapsed="false">
      <c r="A19" s="13" t="s">
        <v>75</v>
      </c>
      <c r="B19" s="11" t="s">
        <v>38</v>
      </c>
      <c r="D19" s="24" t="n">
        <v>0.3</v>
      </c>
      <c r="E19" s="24" t="n">
        <v>0.25</v>
      </c>
      <c r="F19" s="24" t="n">
        <v>0.2</v>
      </c>
      <c r="G19" s="24" t="n">
        <v>0.15</v>
      </c>
      <c r="H19" s="23" t="s">
        <v>67</v>
      </c>
    </row>
    <row r="21" customFormat="false" ht="15" hidden="false" customHeight="false" outlineLevel="0" collapsed="false">
      <c r="A21" s="21" t="s">
        <v>76</v>
      </c>
      <c r="B21" s="21"/>
      <c r="C21" s="21"/>
      <c r="D21" s="21"/>
      <c r="E21" s="21"/>
      <c r="F21" s="21"/>
      <c r="G21" s="21"/>
      <c r="H21" s="21"/>
    </row>
    <row r="22" customFormat="false" ht="15" hidden="false" customHeight="false" outlineLevel="0" collapsed="false">
      <c r="A22" s="13" t="s">
        <v>77</v>
      </c>
      <c r="B22" s="11" t="s">
        <v>52</v>
      </c>
      <c r="C22" s="25" t="n">
        <v>32</v>
      </c>
      <c r="H22" s="23" t="s">
        <v>78</v>
      </c>
    </row>
    <row r="23" customFormat="false" ht="15" hidden="false" customHeight="false" outlineLevel="0" collapsed="false">
      <c r="A23" s="13" t="s">
        <v>79</v>
      </c>
      <c r="B23" s="11" t="s">
        <v>52</v>
      </c>
      <c r="C23" s="25" t="n">
        <v>18</v>
      </c>
      <c r="H23" s="23" t="s">
        <v>78</v>
      </c>
    </row>
    <row r="24" customFormat="false" ht="15" hidden="false" customHeight="false" outlineLevel="0" collapsed="false">
      <c r="A24" s="13" t="s">
        <v>80</v>
      </c>
      <c r="B24" s="11" t="s">
        <v>52</v>
      </c>
      <c r="C24" s="25" t="n">
        <v>22</v>
      </c>
      <c r="H24" s="23" t="s">
        <v>78</v>
      </c>
    </row>
    <row r="25" customFormat="false" ht="15" hidden="false" customHeight="false" outlineLevel="0" collapsed="false">
      <c r="A25" s="13" t="s">
        <v>81</v>
      </c>
      <c r="B25" s="11" t="s">
        <v>52</v>
      </c>
      <c r="C25" s="25" t="n">
        <v>55</v>
      </c>
      <c r="H25" s="23" t="s">
        <v>78</v>
      </c>
    </row>
    <row r="26" customFormat="false" ht="15" hidden="false" customHeight="false" outlineLevel="0" collapsed="false">
      <c r="A26" s="13" t="s">
        <v>82</v>
      </c>
      <c r="B26" s="11" t="s">
        <v>52</v>
      </c>
      <c r="C26" s="25" t="n">
        <v>14</v>
      </c>
      <c r="H26" s="23" t="s">
        <v>78</v>
      </c>
    </row>
    <row r="27" customFormat="false" ht="15" hidden="false" customHeight="false" outlineLevel="0" collapsed="false">
      <c r="A27" s="13" t="s">
        <v>83</v>
      </c>
      <c r="B27" s="11" t="s">
        <v>38</v>
      </c>
      <c r="D27" s="24" t="n">
        <v>0.03</v>
      </c>
      <c r="E27" s="24" t="n">
        <v>0.03</v>
      </c>
      <c r="F27" s="24" t="n">
        <v>0.03</v>
      </c>
      <c r="G27" s="24" t="n">
        <v>0.03</v>
      </c>
      <c r="H27" s="23" t="s">
        <v>84</v>
      </c>
    </row>
    <row r="29" customFormat="false" ht="15" hidden="false" customHeight="false" outlineLevel="0" collapsed="false">
      <c r="A29" s="21" t="s">
        <v>85</v>
      </c>
      <c r="B29" s="21"/>
      <c r="C29" s="21"/>
      <c r="D29" s="21"/>
      <c r="E29" s="21"/>
      <c r="F29" s="21"/>
      <c r="G29" s="21"/>
      <c r="H29" s="21"/>
    </row>
    <row r="30" customFormat="false" ht="15" hidden="false" customHeight="false" outlineLevel="0" collapsed="false">
      <c r="A30" s="13" t="s">
        <v>86</v>
      </c>
      <c r="B30" s="11" t="s">
        <v>38</v>
      </c>
      <c r="C30" s="24" t="n">
        <v>0.55</v>
      </c>
      <c r="D30" s="24" t="n">
        <v>0.5</v>
      </c>
      <c r="E30" s="24" t="n">
        <v>0.45</v>
      </c>
      <c r="F30" s="24" t="n">
        <v>0.4</v>
      </c>
      <c r="G30" s="24" t="n">
        <v>0.38</v>
      </c>
      <c r="H30" s="23" t="s">
        <v>87</v>
      </c>
    </row>
    <row r="31" customFormat="false" ht="15" hidden="false" customHeight="false" outlineLevel="0" collapsed="false">
      <c r="A31" s="13" t="s">
        <v>88</v>
      </c>
      <c r="B31" s="11" t="s">
        <v>38</v>
      </c>
      <c r="C31" s="24" t="n">
        <v>0.25</v>
      </c>
      <c r="D31" s="24" t="n">
        <v>0.28</v>
      </c>
      <c r="E31" s="24" t="n">
        <v>0.3</v>
      </c>
      <c r="F31" s="24" t="n">
        <v>0.32</v>
      </c>
      <c r="G31" s="24" t="n">
        <v>0.32</v>
      </c>
      <c r="H31" s="23" t="s">
        <v>87</v>
      </c>
    </row>
    <row r="32" customFormat="false" ht="15" hidden="false" customHeight="false" outlineLevel="0" collapsed="false">
      <c r="A32" s="13" t="s">
        <v>89</v>
      </c>
      <c r="B32" s="11" t="s">
        <v>38</v>
      </c>
      <c r="C32" s="24" t="n">
        <v>0.15</v>
      </c>
      <c r="D32" s="24" t="n">
        <v>0.15</v>
      </c>
      <c r="E32" s="24" t="n">
        <v>0.15</v>
      </c>
      <c r="F32" s="24" t="n">
        <v>0.15</v>
      </c>
      <c r="G32" s="24" t="n">
        <v>0.15</v>
      </c>
      <c r="H32" s="23" t="s">
        <v>87</v>
      </c>
    </row>
    <row r="33" customFormat="false" ht="15" hidden="false" customHeight="false" outlineLevel="0" collapsed="false">
      <c r="A33" s="13" t="s">
        <v>90</v>
      </c>
      <c r="B33" s="11" t="s">
        <v>38</v>
      </c>
      <c r="C33" s="24" t="n">
        <v>0.05</v>
      </c>
      <c r="D33" s="24" t="n">
        <v>0.07</v>
      </c>
      <c r="E33" s="24" t="n">
        <v>0.1</v>
      </c>
      <c r="F33" s="24" t="n">
        <v>0.13</v>
      </c>
      <c r="G33" s="24" t="n">
        <v>0.15</v>
      </c>
      <c r="H33" s="23" t="s">
        <v>87</v>
      </c>
    </row>
    <row r="34" customFormat="false" ht="15" hidden="false" customHeight="false" outlineLevel="0" collapsed="false">
      <c r="A34" s="3" t="s">
        <v>91</v>
      </c>
      <c r="B34" s="11" t="s">
        <v>38</v>
      </c>
      <c r="C34" s="26" t="n">
        <f aca="false">SUM(C30:C33)</f>
        <v>1</v>
      </c>
      <c r="D34" s="26" t="n">
        <f aca="false">SUM(D30:D33)</f>
        <v>1</v>
      </c>
      <c r="E34" s="26" t="n">
        <f aca="false">SUM(E30:E33)</f>
        <v>1</v>
      </c>
      <c r="F34" s="26" t="n">
        <f aca="false">SUM(F30:F33)</f>
        <v>1</v>
      </c>
      <c r="G34" s="26" t="n">
        <f aca="false">SUM(G30:G33)</f>
        <v>1</v>
      </c>
      <c r="H34" s="23" t="s">
        <v>92</v>
      </c>
    </row>
    <row r="35" customFormat="false" ht="15" hidden="false" customHeight="false" outlineLevel="0" collapsed="false">
      <c r="A35" s="13" t="s">
        <v>93</v>
      </c>
      <c r="B35" s="11" t="s">
        <v>38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3" t="s">
        <v>94</v>
      </c>
    </row>
    <row r="36" customFormat="false" ht="15" hidden="false" customHeight="false" outlineLevel="0" collapsed="false">
      <c r="A36" s="13" t="s">
        <v>95</v>
      </c>
      <c r="B36" s="11" t="s">
        <v>38</v>
      </c>
      <c r="C36" s="24" t="n">
        <v>0.5</v>
      </c>
      <c r="D36" s="24" t="n">
        <v>0.5</v>
      </c>
      <c r="E36" s="24" t="n">
        <v>0.5</v>
      </c>
      <c r="F36" s="24" t="n">
        <v>0.5</v>
      </c>
      <c r="G36" s="24" t="n">
        <v>0.5</v>
      </c>
      <c r="H36" s="23" t="s">
        <v>94</v>
      </c>
    </row>
    <row r="37" customFormat="false" ht="15" hidden="false" customHeight="false" outlineLevel="0" collapsed="false">
      <c r="A37" s="13" t="s">
        <v>96</v>
      </c>
      <c r="B37" s="11" t="s">
        <v>38</v>
      </c>
      <c r="C37" s="24" t="n">
        <v>0.15</v>
      </c>
      <c r="D37" s="24" t="n">
        <v>0.15</v>
      </c>
      <c r="E37" s="24" t="n">
        <v>0.15</v>
      </c>
      <c r="F37" s="24" t="n">
        <v>0.15</v>
      </c>
      <c r="G37" s="24" t="n">
        <v>0.15</v>
      </c>
      <c r="H37" s="23" t="s">
        <v>94</v>
      </c>
    </row>
    <row r="38" customFormat="false" ht="15" hidden="false" customHeight="false" outlineLevel="0" collapsed="false">
      <c r="A38" s="13" t="s">
        <v>97</v>
      </c>
      <c r="B38" s="11" t="s">
        <v>38</v>
      </c>
      <c r="C38" s="24" t="n">
        <v>0.6</v>
      </c>
      <c r="D38" s="24" t="n">
        <v>0.6</v>
      </c>
      <c r="E38" s="24" t="n">
        <v>0.6</v>
      </c>
      <c r="F38" s="24" t="n">
        <v>0.6</v>
      </c>
      <c r="G38" s="24" t="n">
        <v>0.6</v>
      </c>
      <c r="H38" s="23" t="s">
        <v>94</v>
      </c>
    </row>
    <row r="39" customFormat="false" ht="15" hidden="false" customHeight="false" outlineLevel="0" collapsed="false">
      <c r="A39" s="13" t="s">
        <v>98</v>
      </c>
      <c r="B39" s="11" t="s">
        <v>99</v>
      </c>
      <c r="C39" s="24" t="n">
        <v>0.08</v>
      </c>
      <c r="D39" s="24" t="n">
        <v>0.08</v>
      </c>
      <c r="E39" s="24" t="n">
        <v>0.07</v>
      </c>
      <c r="F39" s="24" t="n">
        <v>0.07</v>
      </c>
      <c r="G39" s="24" t="n">
        <v>0.07</v>
      </c>
      <c r="H39" s="23" t="s">
        <v>100</v>
      </c>
    </row>
    <row r="40" customFormat="false" ht="15" hidden="false" customHeight="false" outlineLevel="0" collapsed="false">
      <c r="A40" s="13" t="s">
        <v>101</v>
      </c>
      <c r="B40" s="11" t="s">
        <v>99</v>
      </c>
      <c r="C40" s="24" t="n">
        <v>0.04</v>
      </c>
      <c r="D40" s="24" t="n">
        <v>0.04</v>
      </c>
      <c r="E40" s="24" t="n">
        <v>0.035</v>
      </c>
      <c r="F40" s="24" t="n">
        <v>0.035</v>
      </c>
      <c r="G40" s="24" t="n">
        <v>0.03</v>
      </c>
      <c r="H40" s="23" t="s">
        <v>102</v>
      </c>
    </row>
    <row r="42" customFormat="false" ht="15" hidden="false" customHeight="false" outlineLevel="0" collapsed="false">
      <c r="A42" s="21" t="s">
        <v>103</v>
      </c>
      <c r="B42" s="21"/>
      <c r="C42" s="21"/>
      <c r="D42" s="21"/>
      <c r="E42" s="21"/>
      <c r="F42" s="21"/>
      <c r="G42" s="21"/>
      <c r="H42" s="21"/>
    </row>
    <row r="43" customFormat="false" ht="15" hidden="false" customHeight="false" outlineLevel="0" collapsed="false">
      <c r="A43" s="13" t="s">
        <v>104</v>
      </c>
      <c r="B43" s="11" t="s">
        <v>52</v>
      </c>
      <c r="C43" s="25" t="n">
        <v>3.6</v>
      </c>
      <c r="H43" s="23" t="s">
        <v>105</v>
      </c>
    </row>
    <row r="44" customFormat="false" ht="15" hidden="false" customHeight="false" outlineLevel="0" collapsed="false">
      <c r="A44" s="13" t="s">
        <v>106</v>
      </c>
      <c r="B44" s="11" t="s">
        <v>52</v>
      </c>
      <c r="C44" s="25" t="n">
        <v>2</v>
      </c>
      <c r="H44" s="23" t="s">
        <v>105</v>
      </c>
    </row>
    <row r="45" customFormat="false" ht="15" hidden="false" customHeight="false" outlineLevel="0" collapsed="false">
      <c r="A45" s="13" t="s">
        <v>107</v>
      </c>
      <c r="B45" s="11" t="s">
        <v>52</v>
      </c>
      <c r="C45" s="25" t="n">
        <v>2.6</v>
      </c>
      <c r="H45" s="23" t="s">
        <v>105</v>
      </c>
    </row>
    <row r="46" customFormat="false" ht="15" hidden="false" customHeight="false" outlineLevel="0" collapsed="false">
      <c r="A46" s="13" t="s">
        <v>108</v>
      </c>
      <c r="B46" s="11" t="s">
        <v>52</v>
      </c>
      <c r="C46" s="25" t="n">
        <v>7</v>
      </c>
      <c r="H46" s="23" t="s">
        <v>105</v>
      </c>
    </row>
    <row r="47" customFormat="false" ht="15" hidden="false" customHeight="false" outlineLevel="0" collapsed="false">
      <c r="A47" s="13" t="s">
        <v>109</v>
      </c>
      <c r="B47" s="11" t="s">
        <v>52</v>
      </c>
      <c r="C47" s="25" t="n">
        <v>1.6</v>
      </c>
      <c r="H47" s="23" t="s">
        <v>105</v>
      </c>
    </row>
    <row r="48" customFormat="false" ht="15" hidden="false" customHeight="false" outlineLevel="0" collapsed="false">
      <c r="A48" s="13" t="s">
        <v>110</v>
      </c>
      <c r="B48" s="11" t="s">
        <v>52</v>
      </c>
      <c r="C48" s="25" t="n">
        <v>1.2</v>
      </c>
      <c r="H48" s="23" t="s">
        <v>111</v>
      </c>
    </row>
    <row r="49" customFormat="false" ht="15" hidden="false" customHeight="false" outlineLevel="0" collapsed="false">
      <c r="A49" s="13" t="s">
        <v>112</v>
      </c>
      <c r="B49" s="11" t="s">
        <v>52</v>
      </c>
      <c r="C49" s="25" t="n">
        <v>0.8</v>
      </c>
      <c r="H49" s="23" t="s">
        <v>111</v>
      </c>
    </row>
    <row r="50" customFormat="false" ht="15" hidden="false" customHeight="false" outlineLevel="0" collapsed="false">
      <c r="A50" s="13" t="s">
        <v>113</v>
      </c>
      <c r="B50" s="11" t="s">
        <v>52</v>
      </c>
      <c r="C50" s="25" t="n">
        <v>1</v>
      </c>
      <c r="H50" s="23" t="s">
        <v>111</v>
      </c>
    </row>
    <row r="51" customFormat="false" ht="15" hidden="false" customHeight="false" outlineLevel="0" collapsed="false">
      <c r="A51" s="13" t="s">
        <v>114</v>
      </c>
      <c r="B51" s="11" t="s">
        <v>52</v>
      </c>
      <c r="C51" s="25" t="n">
        <v>3</v>
      </c>
      <c r="H51" s="23" t="s">
        <v>111</v>
      </c>
    </row>
    <row r="52" customFormat="false" ht="15" hidden="false" customHeight="false" outlineLevel="0" collapsed="false">
      <c r="A52" s="13" t="s">
        <v>115</v>
      </c>
      <c r="B52" s="11" t="s">
        <v>52</v>
      </c>
      <c r="C52" s="25" t="n">
        <v>0.6</v>
      </c>
      <c r="H52" s="23" t="s">
        <v>111</v>
      </c>
    </row>
    <row r="53" customFormat="false" ht="15" hidden="false" customHeight="false" outlineLevel="0" collapsed="false">
      <c r="A53" s="13" t="s">
        <v>116</v>
      </c>
      <c r="B53" s="11" t="s">
        <v>38</v>
      </c>
      <c r="D53" s="24" t="n">
        <v>0.03</v>
      </c>
      <c r="E53" s="24" t="n">
        <v>0.03</v>
      </c>
      <c r="F53" s="24" t="n">
        <v>0.025</v>
      </c>
      <c r="G53" s="24" t="n">
        <v>0.025</v>
      </c>
      <c r="H53" s="23" t="s">
        <v>117</v>
      </c>
    </row>
    <row r="54" customFormat="false" ht="15" hidden="false" customHeight="false" outlineLevel="0" collapsed="false">
      <c r="A54" s="13" t="s">
        <v>118</v>
      </c>
      <c r="B54" s="11" t="s">
        <v>38</v>
      </c>
      <c r="D54" s="24" t="n">
        <v>0.02</v>
      </c>
      <c r="E54" s="24" t="n">
        <v>0.02</v>
      </c>
      <c r="F54" s="24" t="n">
        <v>0.015</v>
      </c>
      <c r="G54" s="24" t="n">
        <v>0.01</v>
      </c>
      <c r="H54" s="23" t="s">
        <v>119</v>
      </c>
    </row>
    <row r="55" customFormat="false" ht="15" hidden="false" customHeight="false" outlineLevel="0" collapsed="false">
      <c r="A55" s="13" t="s">
        <v>120</v>
      </c>
      <c r="B55" s="11" t="s">
        <v>121</v>
      </c>
      <c r="C55" s="24" t="n">
        <v>0.04</v>
      </c>
      <c r="D55" s="24" t="n">
        <v>0.04</v>
      </c>
      <c r="E55" s="24" t="n">
        <v>0.035</v>
      </c>
      <c r="F55" s="24" t="n">
        <v>0.035</v>
      </c>
      <c r="G55" s="24" t="n">
        <v>0.035</v>
      </c>
      <c r="H55" s="23" t="s">
        <v>122</v>
      </c>
    </row>
    <row r="56" customFormat="false" ht="15" hidden="false" customHeight="false" outlineLevel="0" collapsed="false">
      <c r="A56" s="13" t="s">
        <v>123</v>
      </c>
      <c r="B56" s="11" t="s">
        <v>121</v>
      </c>
      <c r="C56" s="24" t="n">
        <v>0.07</v>
      </c>
      <c r="D56" s="24" t="n">
        <v>0.065</v>
      </c>
      <c r="E56" s="24" t="n">
        <v>0.06</v>
      </c>
      <c r="F56" s="24" t="n">
        <v>0.055</v>
      </c>
      <c r="G56" s="24" t="n">
        <v>0.055</v>
      </c>
      <c r="H56" s="23" t="s">
        <v>124</v>
      </c>
    </row>
    <row r="57" customFormat="false" ht="15" hidden="false" customHeight="false" outlineLevel="0" collapsed="false">
      <c r="A57" s="13" t="s">
        <v>125</v>
      </c>
      <c r="B57" s="11" t="s">
        <v>121</v>
      </c>
      <c r="C57" s="24" t="n">
        <v>0.02</v>
      </c>
      <c r="D57" s="24" t="n">
        <v>0.02</v>
      </c>
      <c r="E57" s="24" t="n">
        <v>0.015</v>
      </c>
      <c r="F57" s="24" t="n">
        <v>0.015</v>
      </c>
      <c r="G57" s="24" t="n">
        <v>0.015</v>
      </c>
      <c r="H57" s="23" t="s">
        <v>126</v>
      </c>
    </row>
    <row r="59" customFormat="false" ht="15" hidden="false" customHeight="false" outlineLevel="0" collapsed="false">
      <c r="A59" s="21" t="s">
        <v>127</v>
      </c>
      <c r="B59" s="21"/>
      <c r="C59" s="21"/>
      <c r="D59" s="21"/>
      <c r="E59" s="21"/>
      <c r="F59" s="21"/>
      <c r="G59" s="21"/>
      <c r="H59" s="21"/>
    </row>
    <row r="60" customFormat="false" ht="15" hidden="false" customHeight="false" outlineLevel="0" collapsed="false">
      <c r="A60" s="13" t="s">
        <v>128</v>
      </c>
      <c r="B60" s="11" t="s">
        <v>121</v>
      </c>
      <c r="C60" s="24" t="n">
        <v>0.16</v>
      </c>
      <c r="D60" s="24" t="n">
        <v>0.14</v>
      </c>
      <c r="E60" s="24" t="n">
        <v>0.12</v>
      </c>
      <c r="F60" s="24" t="n">
        <v>0.11</v>
      </c>
      <c r="G60" s="24" t="n">
        <v>0.1</v>
      </c>
      <c r="H60" s="23" t="s">
        <v>129</v>
      </c>
    </row>
    <row r="61" customFormat="false" ht="15" hidden="false" customHeight="false" outlineLevel="0" collapsed="false">
      <c r="A61" s="13" t="s">
        <v>130</v>
      </c>
      <c r="B61" s="11" t="s">
        <v>121</v>
      </c>
      <c r="C61" s="24" t="n">
        <v>0.08</v>
      </c>
      <c r="D61" s="24" t="n">
        <v>0.07</v>
      </c>
      <c r="E61" s="24" t="n">
        <v>0.06</v>
      </c>
      <c r="F61" s="24" t="n">
        <v>0.06</v>
      </c>
      <c r="G61" s="24" t="n">
        <v>0.05</v>
      </c>
      <c r="H61" s="23" t="s">
        <v>131</v>
      </c>
    </row>
    <row r="62" customFormat="false" ht="15" hidden="false" customHeight="false" outlineLevel="0" collapsed="false">
      <c r="A62" s="13" t="s">
        <v>132</v>
      </c>
      <c r="B62" s="11" t="s">
        <v>133</v>
      </c>
      <c r="C62" s="24" t="n">
        <v>0.1</v>
      </c>
      <c r="D62" s="24" t="n">
        <v>0.1</v>
      </c>
      <c r="E62" s="24" t="n">
        <v>0.09</v>
      </c>
      <c r="F62" s="24" t="n">
        <v>0.09</v>
      </c>
      <c r="G62" s="24" t="n">
        <v>0.08</v>
      </c>
      <c r="H62" s="23" t="s">
        <v>134</v>
      </c>
    </row>
    <row r="63" customFormat="false" ht="15" hidden="false" customHeight="false" outlineLevel="0" collapsed="false">
      <c r="A63" s="13" t="s">
        <v>135</v>
      </c>
      <c r="B63" s="11" t="s">
        <v>36</v>
      </c>
      <c r="C63" s="27" t="n">
        <v>60000</v>
      </c>
      <c r="D63" s="27" t="n">
        <v>80000</v>
      </c>
      <c r="E63" s="27" t="n">
        <v>100000</v>
      </c>
      <c r="F63" s="27" t="n">
        <v>120000</v>
      </c>
      <c r="G63" s="27" t="n">
        <v>140000</v>
      </c>
      <c r="H63" s="23" t="s">
        <v>136</v>
      </c>
    </row>
    <row r="64" customFormat="false" ht="15" hidden="false" customHeight="false" outlineLevel="0" collapsed="false">
      <c r="A64" s="13" t="s">
        <v>137</v>
      </c>
      <c r="B64" s="11" t="s">
        <v>138</v>
      </c>
      <c r="C64" s="24" t="n">
        <v>0.025</v>
      </c>
      <c r="D64" s="24" t="n">
        <v>0.025</v>
      </c>
      <c r="E64" s="24" t="n">
        <v>0.025</v>
      </c>
      <c r="F64" s="24" t="n">
        <v>0.025</v>
      </c>
      <c r="G64" s="24" t="n">
        <v>0.025</v>
      </c>
      <c r="H64" s="23" t="s">
        <v>139</v>
      </c>
    </row>
    <row r="65" customFormat="false" ht="15" hidden="false" customHeight="false" outlineLevel="0" collapsed="false">
      <c r="A65" s="13" t="s">
        <v>140</v>
      </c>
      <c r="B65" s="11" t="s">
        <v>133</v>
      </c>
      <c r="C65" s="24" t="n">
        <v>0.03</v>
      </c>
      <c r="D65" s="24" t="n">
        <v>0.03</v>
      </c>
      <c r="E65" s="24" t="n">
        <v>0.03</v>
      </c>
      <c r="F65" s="24" t="n">
        <v>0.03</v>
      </c>
      <c r="G65" s="24" t="n">
        <v>0.03</v>
      </c>
      <c r="H65" s="23" t="s">
        <v>141</v>
      </c>
    </row>
    <row r="67" customFormat="false" ht="15" hidden="false" customHeight="false" outlineLevel="0" collapsed="false">
      <c r="A67" s="21" t="s">
        <v>142</v>
      </c>
      <c r="B67" s="21"/>
      <c r="C67" s="21"/>
      <c r="D67" s="21"/>
      <c r="E67" s="21"/>
      <c r="F67" s="21"/>
      <c r="G67" s="21"/>
      <c r="H67" s="21"/>
    </row>
    <row r="68" customFormat="false" ht="15" hidden="false" customHeight="false" outlineLevel="0" collapsed="false">
      <c r="A68" s="13" t="s">
        <v>143</v>
      </c>
      <c r="B68" s="11" t="s">
        <v>48</v>
      </c>
      <c r="C68" s="28" t="n">
        <v>2</v>
      </c>
      <c r="D68" s="28" t="n">
        <v>2</v>
      </c>
      <c r="E68" s="28" t="n">
        <v>3</v>
      </c>
      <c r="F68" s="28" t="n">
        <v>3</v>
      </c>
      <c r="G68" s="28" t="n">
        <v>3</v>
      </c>
      <c r="H68" s="23" t="s">
        <v>144</v>
      </c>
    </row>
    <row r="69" customFormat="false" ht="15" hidden="false" customHeight="false" outlineLevel="0" collapsed="false">
      <c r="A69" s="13" t="s">
        <v>145</v>
      </c>
      <c r="B69" s="11" t="s">
        <v>48</v>
      </c>
      <c r="C69" s="28" t="n">
        <v>3</v>
      </c>
      <c r="D69" s="28" t="n">
        <v>5</v>
      </c>
      <c r="E69" s="28" t="n">
        <v>7</v>
      </c>
      <c r="F69" s="28" t="n">
        <v>9</v>
      </c>
      <c r="G69" s="28" t="n">
        <v>11</v>
      </c>
      <c r="H69" s="23" t="s">
        <v>144</v>
      </c>
    </row>
    <row r="70" customFormat="false" ht="15" hidden="false" customHeight="false" outlineLevel="0" collapsed="false">
      <c r="A70" s="13" t="s">
        <v>146</v>
      </c>
      <c r="B70" s="11" t="s">
        <v>48</v>
      </c>
      <c r="C70" s="28" t="n">
        <v>1</v>
      </c>
      <c r="D70" s="28" t="n">
        <v>2</v>
      </c>
      <c r="E70" s="28" t="n">
        <v>3</v>
      </c>
      <c r="F70" s="28" t="n">
        <v>4</v>
      </c>
      <c r="G70" s="28" t="n">
        <v>4</v>
      </c>
      <c r="H70" s="23" t="s">
        <v>144</v>
      </c>
    </row>
    <row r="71" customFormat="false" ht="15" hidden="false" customHeight="false" outlineLevel="0" collapsed="false">
      <c r="A71" s="13" t="s">
        <v>147</v>
      </c>
      <c r="B71" s="11" t="s">
        <v>48</v>
      </c>
      <c r="C71" s="28" t="n">
        <v>1</v>
      </c>
      <c r="D71" s="28" t="n">
        <v>2</v>
      </c>
      <c r="E71" s="28" t="n">
        <v>3</v>
      </c>
      <c r="F71" s="28" t="n">
        <v>4</v>
      </c>
      <c r="G71" s="28" t="n">
        <v>5</v>
      </c>
      <c r="H71" s="23" t="s">
        <v>144</v>
      </c>
    </row>
    <row r="72" customFormat="false" ht="15" hidden="false" customHeight="false" outlineLevel="0" collapsed="false">
      <c r="A72" s="13" t="s">
        <v>148</v>
      </c>
      <c r="B72" s="11" t="s">
        <v>48</v>
      </c>
      <c r="C72" s="28" t="n">
        <v>1</v>
      </c>
      <c r="D72" s="28" t="n">
        <v>1</v>
      </c>
      <c r="E72" s="28" t="n">
        <v>2</v>
      </c>
      <c r="F72" s="28" t="n">
        <v>3</v>
      </c>
      <c r="G72" s="28" t="n">
        <v>3</v>
      </c>
      <c r="H72" s="23" t="s">
        <v>144</v>
      </c>
    </row>
    <row r="73" customFormat="false" ht="15" hidden="false" customHeight="false" outlineLevel="0" collapsed="false">
      <c r="A73" s="13" t="s">
        <v>149</v>
      </c>
      <c r="B73" s="11" t="s">
        <v>150</v>
      </c>
      <c r="C73" s="27" t="n">
        <v>90000</v>
      </c>
      <c r="H73" s="23" t="s">
        <v>151</v>
      </c>
    </row>
    <row r="74" customFormat="false" ht="15" hidden="false" customHeight="false" outlineLevel="0" collapsed="false">
      <c r="A74" s="13" t="s">
        <v>152</v>
      </c>
      <c r="B74" s="11" t="s">
        <v>150</v>
      </c>
      <c r="C74" s="27" t="n">
        <v>45000</v>
      </c>
      <c r="H74" s="23" t="s">
        <v>151</v>
      </c>
    </row>
    <row r="75" customFormat="false" ht="15" hidden="false" customHeight="false" outlineLevel="0" collapsed="false">
      <c r="A75" s="13" t="s">
        <v>153</v>
      </c>
      <c r="B75" s="11" t="s">
        <v>150</v>
      </c>
      <c r="C75" s="27" t="n">
        <v>50000</v>
      </c>
      <c r="H75" s="23" t="s">
        <v>151</v>
      </c>
    </row>
    <row r="76" customFormat="false" ht="15" hidden="false" customHeight="false" outlineLevel="0" collapsed="false">
      <c r="A76" s="13" t="s">
        <v>154</v>
      </c>
      <c r="B76" s="11" t="s">
        <v>150</v>
      </c>
      <c r="C76" s="27" t="n">
        <v>40000</v>
      </c>
      <c r="H76" s="23" t="s">
        <v>151</v>
      </c>
    </row>
    <row r="77" customFormat="false" ht="15" hidden="false" customHeight="false" outlineLevel="0" collapsed="false">
      <c r="A77" s="13" t="s">
        <v>155</v>
      </c>
      <c r="B77" s="11" t="s">
        <v>150</v>
      </c>
      <c r="C77" s="27" t="n">
        <v>42000</v>
      </c>
      <c r="H77" s="23" t="s">
        <v>151</v>
      </c>
    </row>
    <row r="78" customFormat="false" ht="15" hidden="false" customHeight="false" outlineLevel="0" collapsed="false">
      <c r="A78" s="13" t="s">
        <v>156</v>
      </c>
      <c r="B78" s="11" t="s">
        <v>38</v>
      </c>
      <c r="D78" s="24" t="n">
        <v>0.035</v>
      </c>
      <c r="E78" s="24" t="n">
        <v>0.035</v>
      </c>
      <c r="F78" s="24" t="n">
        <v>0.03</v>
      </c>
      <c r="G78" s="24" t="n">
        <v>0.03</v>
      </c>
      <c r="H78" s="23" t="s">
        <v>157</v>
      </c>
    </row>
    <row r="79" customFormat="false" ht="15" hidden="false" customHeight="false" outlineLevel="0" collapsed="false">
      <c r="A79" s="13" t="s">
        <v>158</v>
      </c>
      <c r="B79" s="11" t="s">
        <v>159</v>
      </c>
      <c r="C79" s="24" t="n">
        <v>0.18</v>
      </c>
      <c r="D79" s="24" t="n">
        <v>0.18</v>
      </c>
      <c r="E79" s="24" t="n">
        <v>0.18</v>
      </c>
      <c r="F79" s="24" t="n">
        <v>0.18</v>
      </c>
      <c r="G79" s="24" t="n">
        <v>0.18</v>
      </c>
      <c r="H79" s="23" t="s">
        <v>160</v>
      </c>
    </row>
    <row r="80" customFormat="false" ht="15" hidden="false" customHeight="false" outlineLevel="0" collapsed="false">
      <c r="A80" s="13" t="s">
        <v>161</v>
      </c>
      <c r="B80" s="11" t="s">
        <v>36</v>
      </c>
      <c r="C80" s="27" t="n">
        <v>40000</v>
      </c>
      <c r="D80" s="27" t="n">
        <v>50000</v>
      </c>
      <c r="E80" s="27" t="n">
        <v>60000</v>
      </c>
      <c r="F80" s="27" t="n">
        <v>70000</v>
      </c>
      <c r="G80" s="27" t="n">
        <v>80000</v>
      </c>
    </row>
    <row r="82" customFormat="false" ht="15" hidden="false" customHeight="false" outlineLevel="0" collapsed="false">
      <c r="A82" s="21" t="s">
        <v>162</v>
      </c>
      <c r="B82" s="21"/>
      <c r="C82" s="21"/>
      <c r="D82" s="21"/>
      <c r="E82" s="21"/>
      <c r="F82" s="21"/>
      <c r="G82" s="21"/>
      <c r="H82" s="21"/>
    </row>
    <row r="83" customFormat="false" ht="15" hidden="false" customHeight="false" outlineLevel="0" collapsed="false">
      <c r="A83" s="13" t="s">
        <v>163</v>
      </c>
      <c r="B83" s="11" t="s">
        <v>36</v>
      </c>
      <c r="C83" s="27" t="n">
        <v>50000</v>
      </c>
      <c r="D83" s="27" t="n">
        <v>70000</v>
      </c>
      <c r="E83" s="27" t="n">
        <v>90000</v>
      </c>
      <c r="F83" s="27" t="n">
        <v>110000</v>
      </c>
      <c r="G83" s="27" t="n">
        <v>130000</v>
      </c>
      <c r="H83" s="23" t="s">
        <v>164</v>
      </c>
    </row>
    <row r="84" customFormat="false" ht="15" hidden="false" customHeight="false" outlineLevel="0" collapsed="false">
      <c r="A84" s="13" t="s">
        <v>165</v>
      </c>
      <c r="B84" s="11" t="s">
        <v>36</v>
      </c>
      <c r="C84" s="27" t="n">
        <v>25000</v>
      </c>
      <c r="D84" s="27" t="n">
        <v>30000</v>
      </c>
      <c r="E84" s="27" t="n">
        <v>40000</v>
      </c>
      <c r="F84" s="27" t="n">
        <v>45000</v>
      </c>
      <c r="G84" s="27" t="n">
        <v>50000</v>
      </c>
      <c r="H84" s="23" t="s">
        <v>166</v>
      </c>
    </row>
    <row r="85" customFormat="false" ht="15" hidden="false" customHeight="false" outlineLevel="0" collapsed="false">
      <c r="A85" s="13" t="s">
        <v>167</v>
      </c>
      <c r="B85" s="11" t="s">
        <v>36</v>
      </c>
      <c r="C85" s="27" t="n">
        <v>30000</v>
      </c>
      <c r="D85" s="27" t="n">
        <v>40000</v>
      </c>
      <c r="E85" s="27" t="n">
        <v>60000</v>
      </c>
      <c r="F85" s="27" t="n">
        <v>60000</v>
      </c>
      <c r="G85" s="27" t="n">
        <v>80000</v>
      </c>
      <c r="H85" s="23" t="s">
        <v>168</v>
      </c>
    </row>
    <row r="86" customFormat="false" ht="15" hidden="false" customHeight="false" outlineLevel="0" collapsed="false">
      <c r="A86" s="13" t="s">
        <v>169</v>
      </c>
      <c r="B86" s="11" t="s">
        <v>36</v>
      </c>
      <c r="C86" s="27" t="n">
        <v>25000</v>
      </c>
      <c r="D86" s="27" t="n">
        <v>35000</v>
      </c>
      <c r="E86" s="27" t="n">
        <v>45000</v>
      </c>
      <c r="F86" s="27" t="n">
        <v>55000</v>
      </c>
      <c r="G86" s="27" t="n">
        <v>65000</v>
      </c>
      <c r="H86" s="23" t="s">
        <v>170</v>
      </c>
    </row>
    <row r="87" customFormat="false" ht="15" hidden="false" customHeight="false" outlineLevel="0" collapsed="false">
      <c r="A87" s="13" t="s">
        <v>171</v>
      </c>
      <c r="B87" s="11" t="s">
        <v>36</v>
      </c>
      <c r="C87" s="27" t="n">
        <v>30000</v>
      </c>
      <c r="D87" s="27" t="n">
        <v>35000</v>
      </c>
      <c r="E87" s="27" t="n">
        <v>40000</v>
      </c>
      <c r="F87" s="27" t="n">
        <v>45000</v>
      </c>
      <c r="G87" s="27" t="n">
        <v>50000</v>
      </c>
    </row>
    <row r="88" customFormat="false" ht="15" hidden="false" customHeight="false" outlineLevel="0" collapsed="false">
      <c r="A88" s="13" t="s">
        <v>172</v>
      </c>
      <c r="B88" s="11" t="s">
        <v>36</v>
      </c>
      <c r="C88" s="27" t="n">
        <v>10000</v>
      </c>
      <c r="D88" s="27" t="n">
        <v>12000</v>
      </c>
      <c r="E88" s="27" t="n">
        <v>15000</v>
      </c>
      <c r="F88" s="27" t="n">
        <v>18000</v>
      </c>
      <c r="G88" s="27" t="n">
        <v>20000</v>
      </c>
      <c r="H88" s="23" t="s">
        <v>173</v>
      </c>
    </row>
    <row r="89" customFormat="false" ht="15" hidden="false" customHeight="false" outlineLevel="0" collapsed="false">
      <c r="A89" s="13" t="s">
        <v>174</v>
      </c>
      <c r="B89" s="11" t="s">
        <v>36</v>
      </c>
      <c r="C89" s="27" t="n">
        <v>15000</v>
      </c>
      <c r="D89" s="27" t="n">
        <v>25000</v>
      </c>
      <c r="E89" s="27" t="n">
        <v>35000</v>
      </c>
      <c r="F89" s="27" t="n">
        <v>45000</v>
      </c>
      <c r="G89" s="27" t="n">
        <v>50000</v>
      </c>
    </row>
    <row r="90" customFormat="false" ht="15" hidden="false" customHeight="false" outlineLevel="0" collapsed="false">
      <c r="A90" s="13" t="s">
        <v>175</v>
      </c>
      <c r="B90" s="11" t="s">
        <v>36</v>
      </c>
      <c r="C90" s="27" t="n">
        <v>20000</v>
      </c>
      <c r="D90" s="27" t="n">
        <v>25000</v>
      </c>
      <c r="E90" s="27" t="n">
        <v>30000</v>
      </c>
      <c r="F90" s="27" t="n">
        <v>35000</v>
      </c>
      <c r="G90" s="27" t="n">
        <v>40000</v>
      </c>
      <c r="H90" s="23" t="s">
        <v>176</v>
      </c>
    </row>
    <row r="92" customFormat="false" ht="15" hidden="false" customHeight="false" outlineLevel="0" collapsed="false">
      <c r="A92" s="21" t="s">
        <v>177</v>
      </c>
      <c r="B92" s="21"/>
      <c r="C92" s="21"/>
      <c r="D92" s="21"/>
      <c r="E92" s="21"/>
      <c r="F92" s="21"/>
      <c r="G92" s="21"/>
      <c r="H92" s="21"/>
    </row>
    <row r="93" customFormat="false" ht="15" hidden="false" customHeight="false" outlineLevel="0" collapsed="false">
      <c r="A93" s="13" t="s">
        <v>178</v>
      </c>
      <c r="B93" s="11" t="s">
        <v>36</v>
      </c>
      <c r="C93" s="27" t="n">
        <v>60000</v>
      </c>
      <c r="D93" s="27" t="n">
        <v>40000</v>
      </c>
      <c r="E93" s="27" t="n">
        <v>80000</v>
      </c>
      <c r="F93" s="27" t="n">
        <v>60000</v>
      </c>
      <c r="G93" s="27" t="n">
        <v>80000</v>
      </c>
      <c r="H93" s="23" t="s">
        <v>179</v>
      </c>
    </row>
    <row r="94" customFormat="false" ht="15" hidden="false" customHeight="false" outlineLevel="0" collapsed="false">
      <c r="A94" s="13" t="s">
        <v>180</v>
      </c>
      <c r="B94" s="11" t="s">
        <v>181</v>
      </c>
      <c r="C94" s="19" t="n">
        <v>5</v>
      </c>
      <c r="H94" s="23" t="s">
        <v>182</v>
      </c>
    </row>
    <row r="95" customFormat="false" ht="15" hidden="false" customHeight="false" outlineLevel="0" collapsed="false">
      <c r="A95" s="13" t="s">
        <v>183</v>
      </c>
      <c r="B95" s="11" t="s">
        <v>36</v>
      </c>
      <c r="C95" s="27" t="n">
        <v>15000</v>
      </c>
      <c r="D95" s="27" t="n">
        <v>15000</v>
      </c>
      <c r="E95" s="27" t="n">
        <v>12000</v>
      </c>
      <c r="F95" s="27" t="n">
        <v>9000</v>
      </c>
      <c r="G95" s="27" t="n">
        <v>6000</v>
      </c>
      <c r="H95" s="23" t="s">
        <v>184</v>
      </c>
    </row>
    <row r="96" customFormat="false" ht="15" hidden="false" customHeight="false" outlineLevel="0" collapsed="false">
      <c r="A96" s="13" t="s">
        <v>185</v>
      </c>
      <c r="B96" s="11" t="s">
        <v>38</v>
      </c>
      <c r="C96" s="24" t="n">
        <v>0.25</v>
      </c>
      <c r="D96" s="24" t="n">
        <v>0.25</v>
      </c>
      <c r="E96" s="24" t="n">
        <v>0.25</v>
      </c>
      <c r="F96" s="24" t="n">
        <v>0.25</v>
      </c>
      <c r="G96" s="24" t="n">
        <v>0.25</v>
      </c>
      <c r="H96" s="23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7" t="s">
        <v>187</v>
      </c>
    </row>
    <row r="2" customFormat="false" ht="15" hidden="false" customHeight="false" outlineLevel="0" collapsed="false">
      <c r="A2" s="8" t="s">
        <v>188</v>
      </c>
    </row>
    <row r="4" customFormat="false" ht="15" hidden="false" customHeight="false" outlineLevel="0" collapsed="false">
      <c r="A4" s="9"/>
      <c r="B4" s="10" t="s">
        <v>34</v>
      </c>
      <c r="C4" s="10" t="str">
        <f aca="false">"FY"&amp;(Assumptions!$C$6+0)</f>
        <v>FY2027</v>
      </c>
      <c r="D4" s="10" t="str">
        <f aca="false">"FY"&amp;(Assumptions!$C$6+1)</f>
        <v>FY2028</v>
      </c>
      <c r="E4" s="10" t="str">
        <f aca="false">"FY"&amp;(Assumptions!$C$6+2)</f>
        <v>FY2029</v>
      </c>
      <c r="F4" s="10" t="str">
        <f aca="false">"FY"&amp;(Assumptions!$C$6+3)</f>
        <v>FY2030</v>
      </c>
      <c r="G4" s="10" t="str">
        <f aca="false">"FY"&amp;(Assumptions!$C$6+4)</f>
        <v>FY2031</v>
      </c>
      <c r="H4" s="10" t="s">
        <v>62</v>
      </c>
    </row>
    <row r="5" customFormat="false" ht="15" hidden="false" customHeight="false" outlineLevel="0" collapsed="false">
      <c r="A5" s="21" t="s">
        <v>189</v>
      </c>
      <c r="B5" s="21"/>
      <c r="C5" s="21"/>
      <c r="D5" s="21"/>
      <c r="E5" s="21"/>
      <c r="F5" s="21"/>
      <c r="G5" s="21"/>
      <c r="H5" s="21"/>
    </row>
    <row r="6" customFormat="false" ht="15" hidden="false" customHeight="false" outlineLevel="0" collapsed="false">
      <c r="A6" s="13" t="s">
        <v>190</v>
      </c>
      <c r="B6" s="11" t="s">
        <v>50</v>
      </c>
      <c r="C6" s="16" t="n">
        <f aca="false">Assumptions!$C$10</f>
        <v>70000</v>
      </c>
      <c r="D6" s="16" t="n">
        <f aca="false">C6*(1+Assumptions!D11)</f>
        <v>101500</v>
      </c>
      <c r="E6" s="16" t="n">
        <f aca="false">D6*(1+Assumptions!E11)</f>
        <v>137025</v>
      </c>
      <c r="F6" s="16" t="n">
        <f aca="false">E6*(1+Assumptions!F11)</f>
        <v>171281.25</v>
      </c>
      <c r="G6" s="16" t="n">
        <f aca="false">F6*(1+Assumptions!G11)</f>
        <v>205537.5</v>
      </c>
    </row>
    <row r="7" customFormat="false" ht="15" hidden="false" customHeight="false" outlineLevel="0" collapsed="false">
      <c r="A7" s="13" t="s">
        <v>191</v>
      </c>
      <c r="B7" s="11" t="s">
        <v>50</v>
      </c>
      <c r="C7" s="16" t="n">
        <f aca="false">Assumptions!$C$12</f>
        <v>35000</v>
      </c>
      <c r="D7" s="16" t="n">
        <f aca="false">C7*(1+Assumptions!D13)</f>
        <v>49000</v>
      </c>
      <c r="E7" s="16" t="n">
        <f aca="false">D7*(1+Assumptions!E13)</f>
        <v>63700</v>
      </c>
      <c r="F7" s="16" t="n">
        <f aca="false">E7*(1+Assumptions!F13)</f>
        <v>79625</v>
      </c>
      <c r="G7" s="16" t="n">
        <f aca="false">F7*(1+Assumptions!G13)</f>
        <v>95550</v>
      </c>
    </row>
    <row r="8" customFormat="false" ht="15" hidden="false" customHeight="false" outlineLevel="0" collapsed="false">
      <c r="A8" s="13" t="s">
        <v>192</v>
      </c>
      <c r="B8" s="11" t="s">
        <v>50</v>
      </c>
      <c r="C8" s="16" t="n">
        <f aca="false">Assumptions!$C$14</f>
        <v>45000</v>
      </c>
      <c r="D8" s="16" t="n">
        <f aca="false">C8*(1+Assumptions!D15)</f>
        <v>60750</v>
      </c>
      <c r="E8" s="16" t="n">
        <f aca="false">D8*(1+Assumptions!E15)</f>
        <v>78975</v>
      </c>
      <c r="F8" s="16" t="n">
        <f aca="false">E8*(1+Assumptions!F15)</f>
        <v>94770</v>
      </c>
      <c r="G8" s="16" t="n">
        <f aca="false">F8*(1+Assumptions!G15)</f>
        <v>108985.5</v>
      </c>
    </row>
    <row r="9" customFormat="false" ht="15" hidden="false" customHeight="false" outlineLevel="0" collapsed="false">
      <c r="A9" s="13" t="s">
        <v>193</v>
      </c>
      <c r="B9" s="11" t="s">
        <v>50</v>
      </c>
      <c r="C9" s="16" t="n">
        <f aca="false">Assumptions!$C$16</f>
        <v>9000</v>
      </c>
      <c r="D9" s="16" t="n">
        <f aca="false">C9*(1+Assumptions!D17)</f>
        <v>13500</v>
      </c>
      <c r="E9" s="16" t="n">
        <f aca="false">D9*(1+Assumptions!E17)</f>
        <v>18900</v>
      </c>
      <c r="F9" s="16" t="n">
        <f aca="false">E9*(1+Assumptions!F17)</f>
        <v>24570</v>
      </c>
      <c r="G9" s="16" t="n">
        <f aca="false">F9*(1+Assumptions!G17)</f>
        <v>30712.5</v>
      </c>
    </row>
    <row r="10" customFormat="false" ht="15" hidden="false" customHeight="false" outlineLevel="0" collapsed="false">
      <c r="A10" s="13" t="s">
        <v>194</v>
      </c>
      <c r="B10" s="11" t="s">
        <v>50</v>
      </c>
      <c r="C10" s="16" t="n">
        <f aca="false">Assumptions!$C$18</f>
        <v>25000</v>
      </c>
      <c r="D10" s="16" t="n">
        <f aca="false">C10*(1+Assumptions!D19)</f>
        <v>32500</v>
      </c>
      <c r="E10" s="16" t="n">
        <f aca="false">D10*(1+Assumptions!E19)</f>
        <v>40625</v>
      </c>
      <c r="F10" s="16" t="n">
        <f aca="false">E10*(1+Assumptions!F19)</f>
        <v>48750</v>
      </c>
      <c r="G10" s="16" t="n">
        <f aca="false">F10*(1+Assumptions!G19)</f>
        <v>56062.5</v>
      </c>
    </row>
    <row r="11" customFormat="false" ht="15" hidden="false" customHeight="false" outlineLevel="0" collapsed="false">
      <c r="A11" s="29" t="s">
        <v>195</v>
      </c>
      <c r="B11" s="30" t="s">
        <v>50</v>
      </c>
      <c r="C11" s="31" t="n">
        <f aca="false">SUM(C6:C10)</f>
        <v>184000</v>
      </c>
      <c r="D11" s="31" t="n">
        <f aca="false">SUM(D6:D10)</f>
        <v>257250</v>
      </c>
      <c r="E11" s="31" t="n">
        <f aca="false">SUM(E6:E10)</f>
        <v>339225</v>
      </c>
      <c r="F11" s="31" t="n">
        <f aca="false">SUM(F6:F10)</f>
        <v>418996.25</v>
      </c>
      <c r="G11" s="31" t="n">
        <f aca="false">SUM(G6:G10)</f>
        <v>496848</v>
      </c>
    </row>
    <row r="13" customFormat="false" ht="15" hidden="false" customHeight="false" outlineLevel="0" collapsed="false">
      <c r="A13" s="21" t="s">
        <v>196</v>
      </c>
      <c r="B13" s="21"/>
      <c r="C13" s="21"/>
      <c r="D13" s="21"/>
      <c r="E13" s="21"/>
      <c r="F13" s="21"/>
      <c r="G13" s="21"/>
      <c r="H13" s="21"/>
    </row>
    <row r="14" customFormat="false" ht="15" hidden="false" customHeight="false" outlineLevel="0" collapsed="false">
      <c r="A14" s="13" t="s">
        <v>190</v>
      </c>
      <c r="B14" s="11" t="s">
        <v>52</v>
      </c>
      <c r="C14" s="17" t="n">
        <f aca="false">Assumptions!$C$22</f>
        <v>32</v>
      </c>
      <c r="D14" s="17" t="n">
        <f aca="false">C14*(1+Assumptions!D27)</f>
        <v>32.96</v>
      </c>
      <c r="E14" s="17" t="n">
        <f aca="false">D14*(1+Assumptions!E27)</f>
        <v>33.9488</v>
      </c>
      <c r="F14" s="17" t="n">
        <f aca="false">E14*(1+Assumptions!F27)</f>
        <v>34.967264</v>
      </c>
      <c r="G14" s="17" t="n">
        <f aca="false">F14*(1+Assumptions!G27)</f>
        <v>36.01628192</v>
      </c>
    </row>
    <row r="15" customFormat="false" ht="15" hidden="false" customHeight="false" outlineLevel="0" collapsed="false">
      <c r="A15" s="13" t="s">
        <v>191</v>
      </c>
      <c r="B15" s="11" t="s">
        <v>52</v>
      </c>
      <c r="C15" s="17" t="n">
        <f aca="false">Assumptions!$C$23</f>
        <v>18</v>
      </c>
      <c r="D15" s="17" t="n">
        <f aca="false">C15*(1+Assumptions!D27)</f>
        <v>18.54</v>
      </c>
      <c r="E15" s="17" t="n">
        <f aca="false">D15*(1+Assumptions!E27)</f>
        <v>19.0962</v>
      </c>
      <c r="F15" s="17" t="n">
        <f aca="false">E15*(1+Assumptions!F27)</f>
        <v>19.669086</v>
      </c>
      <c r="G15" s="17" t="n">
        <f aca="false">F15*(1+Assumptions!G27)</f>
        <v>20.25915858</v>
      </c>
    </row>
    <row r="16" customFormat="false" ht="15" hidden="false" customHeight="false" outlineLevel="0" collapsed="false">
      <c r="A16" s="13" t="s">
        <v>192</v>
      </c>
      <c r="B16" s="11" t="s">
        <v>52</v>
      </c>
      <c r="C16" s="17" t="n">
        <f aca="false">Assumptions!$C$24</f>
        <v>22</v>
      </c>
      <c r="D16" s="17" t="n">
        <f aca="false">C16*(1+Assumptions!D27)</f>
        <v>22.66</v>
      </c>
      <c r="E16" s="17" t="n">
        <f aca="false">D16*(1+Assumptions!E27)</f>
        <v>23.3398</v>
      </c>
      <c r="F16" s="17" t="n">
        <f aca="false">E16*(1+Assumptions!F27)</f>
        <v>24.039994</v>
      </c>
      <c r="G16" s="17" t="n">
        <f aca="false">F16*(1+Assumptions!G27)</f>
        <v>24.76119382</v>
      </c>
    </row>
    <row r="17" customFormat="false" ht="15" hidden="false" customHeight="false" outlineLevel="0" collapsed="false">
      <c r="A17" s="13" t="s">
        <v>193</v>
      </c>
      <c r="B17" s="11" t="s">
        <v>52</v>
      </c>
      <c r="C17" s="17" t="n">
        <f aca="false">Assumptions!$C$25</f>
        <v>55</v>
      </c>
      <c r="D17" s="17" t="n">
        <f aca="false">C17*(1+Assumptions!D27)</f>
        <v>56.65</v>
      </c>
      <c r="E17" s="17" t="n">
        <f aca="false">D17*(1+Assumptions!E27)</f>
        <v>58.3495</v>
      </c>
      <c r="F17" s="17" t="n">
        <f aca="false">E17*(1+Assumptions!F27)</f>
        <v>60.099985</v>
      </c>
      <c r="G17" s="17" t="n">
        <f aca="false">F17*(1+Assumptions!G27)</f>
        <v>61.90298455</v>
      </c>
    </row>
    <row r="18" customFormat="false" ht="15" hidden="false" customHeight="false" outlineLevel="0" collapsed="false">
      <c r="A18" s="13" t="s">
        <v>194</v>
      </c>
      <c r="B18" s="11" t="s">
        <v>52</v>
      </c>
      <c r="C18" s="17" t="n">
        <f aca="false">Assumptions!$C$26</f>
        <v>14</v>
      </c>
      <c r="D18" s="17" t="n">
        <f aca="false">C18*(1+Assumptions!D27)</f>
        <v>14.42</v>
      </c>
      <c r="E18" s="17" t="n">
        <f aca="false">D18*(1+Assumptions!E27)</f>
        <v>14.8526</v>
      </c>
      <c r="F18" s="17" t="n">
        <f aca="false">E18*(1+Assumptions!F27)</f>
        <v>15.298178</v>
      </c>
      <c r="G18" s="17" t="n">
        <f aca="false">F18*(1+Assumptions!G27)</f>
        <v>15.75712334</v>
      </c>
    </row>
    <row r="20" customFormat="false" ht="15" hidden="false" customHeight="false" outlineLevel="0" collapsed="false">
      <c r="A20" s="21" t="s">
        <v>197</v>
      </c>
      <c r="B20" s="21"/>
      <c r="C20" s="21"/>
      <c r="D20" s="21"/>
      <c r="E20" s="21"/>
      <c r="F20" s="21"/>
      <c r="G20" s="21"/>
      <c r="H20" s="21"/>
    </row>
    <row r="21" customFormat="false" ht="15" hidden="false" customHeight="false" outlineLevel="0" collapsed="false">
      <c r="A21" s="13" t="s">
        <v>190</v>
      </c>
      <c r="B21" s="11" t="s">
        <v>36</v>
      </c>
      <c r="C21" s="32" t="n">
        <f aca="false">C6*C14</f>
        <v>2240000</v>
      </c>
      <c r="D21" s="32" t="n">
        <f aca="false">D6*D14</f>
        <v>3345440</v>
      </c>
      <c r="E21" s="32" t="n">
        <f aca="false">E6*E14</f>
        <v>4651834.32</v>
      </c>
      <c r="F21" s="32" t="n">
        <f aca="false">F6*F14</f>
        <v>5989236.687</v>
      </c>
      <c r="G21" s="32" t="n">
        <f aca="false">G6*G14</f>
        <v>7402696.545132</v>
      </c>
    </row>
    <row r="22" customFormat="false" ht="15" hidden="false" customHeight="false" outlineLevel="0" collapsed="false">
      <c r="A22" s="13" t="s">
        <v>191</v>
      </c>
      <c r="B22" s="11" t="s">
        <v>36</v>
      </c>
      <c r="C22" s="32" t="n">
        <f aca="false">C7*C15</f>
        <v>630000</v>
      </c>
      <c r="D22" s="32" t="n">
        <f aca="false">D7*D15</f>
        <v>908460</v>
      </c>
      <c r="E22" s="32" t="n">
        <f aca="false">E7*E15</f>
        <v>1216427.94</v>
      </c>
      <c r="F22" s="32" t="n">
        <f aca="false">F7*F15</f>
        <v>1566150.97275</v>
      </c>
      <c r="G22" s="32" t="n">
        <f aca="false">G7*G15</f>
        <v>1935762.602319</v>
      </c>
    </row>
    <row r="23" customFormat="false" ht="15" hidden="false" customHeight="false" outlineLevel="0" collapsed="false">
      <c r="A23" s="13" t="s">
        <v>192</v>
      </c>
      <c r="B23" s="11" t="s">
        <v>36</v>
      </c>
      <c r="C23" s="32" t="n">
        <f aca="false">C8*C16</f>
        <v>990000</v>
      </c>
      <c r="D23" s="32" t="n">
        <f aca="false">D8*D16</f>
        <v>1376595</v>
      </c>
      <c r="E23" s="32" t="n">
        <f aca="false">E8*E16</f>
        <v>1843260.705</v>
      </c>
      <c r="F23" s="32" t="n">
        <f aca="false">F8*F16</f>
        <v>2278270.23138</v>
      </c>
      <c r="G23" s="32" t="n">
        <f aca="false">G8*G16</f>
        <v>2698611.08906961</v>
      </c>
    </row>
    <row r="24" customFormat="false" ht="15" hidden="false" customHeight="false" outlineLevel="0" collapsed="false">
      <c r="A24" s="13" t="s">
        <v>193</v>
      </c>
      <c r="B24" s="11" t="s">
        <v>36</v>
      </c>
      <c r="C24" s="32" t="n">
        <f aca="false">C9*C17</f>
        <v>495000</v>
      </c>
      <c r="D24" s="32" t="n">
        <f aca="false">D9*D17</f>
        <v>764775</v>
      </c>
      <c r="E24" s="32" t="n">
        <f aca="false">E9*E17</f>
        <v>1102805.55</v>
      </c>
      <c r="F24" s="32" t="n">
        <f aca="false">F9*F17</f>
        <v>1476656.63145</v>
      </c>
      <c r="G24" s="32" t="n">
        <f aca="false">G9*G17</f>
        <v>1901195.41299188</v>
      </c>
    </row>
    <row r="25" customFormat="false" ht="15" hidden="false" customHeight="false" outlineLevel="0" collapsed="false">
      <c r="A25" s="13" t="s">
        <v>194</v>
      </c>
      <c r="B25" s="11" t="s">
        <v>36</v>
      </c>
      <c r="C25" s="32" t="n">
        <f aca="false">C10*C18</f>
        <v>350000</v>
      </c>
      <c r="D25" s="32" t="n">
        <f aca="false">D10*D18</f>
        <v>468650</v>
      </c>
      <c r="E25" s="32" t="n">
        <f aca="false">E10*E18</f>
        <v>603386.875</v>
      </c>
      <c r="F25" s="32" t="n">
        <f aca="false">F10*F18</f>
        <v>745786.1775</v>
      </c>
      <c r="G25" s="32" t="n">
        <f aca="false">G10*G18</f>
        <v>883383.72724875</v>
      </c>
    </row>
    <row r="26" customFormat="false" ht="15" hidden="false" customHeight="false" outlineLevel="0" collapsed="false">
      <c r="A26" s="29" t="s">
        <v>198</v>
      </c>
      <c r="B26" s="30" t="s">
        <v>36</v>
      </c>
      <c r="C26" s="33" t="n">
        <f aca="false">SUM(C21:C25)</f>
        <v>4705000</v>
      </c>
      <c r="D26" s="33" t="n">
        <f aca="false">SUM(D21:D25)</f>
        <v>6863920</v>
      </c>
      <c r="E26" s="33" t="n">
        <f aca="false">SUM(E21:E25)</f>
        <v>9417715.39</v>
      </c>
      <c r="F26" s="33" t="n">
        <f aca="false">SUM(F21:F25)</f>
        <v>12056100.70008</v>
      </c>
      <c r="G26" s="33" t="n">
        <f aca="false">SUM(G21:G25)</f>
        <v>14821649.3767612</v>
      </c>
    </row>
    <row r="28" customFormat="false" ht="15" hidden="false" customHeight="false" outlineLevel="0" collapsed="false">
      <c r="A28" s="21" t="s">
        <v>199</v>
      </c>
      <c r="B28" s="21"/>
      <c r="C28" s="21"/>
      <c r="D28" s="21"/>
      <c r="E28" s="21"/>
      <c r="F28" s="21"/>
      <c r="G28" s="21"/>
      <c r="H28" s="21"/>
    </row>
    <row r="29" customFormat="false" ht="15" hidden="false" customHeight="false" outlineLevel="0" collapsed="false">
      <c r="A29" s="13" t="s">
        <v>200</v>
      </c>
      <c r="B29" s="11" t="s">
        <v>36</v>
      </c>
      <c r="C29" s="34" t="n">
        <f aca="false">C26*Assumptions!C30</f>
        <v>2587750</v>
      </c>
      <c r="D29" s="34" t="n">
        <f aca="false">D26*Assumptions!D30</f>
        <v>3431960</v>
      </c>
      <c r="E29" s="34" t="n">
        <f aca="false">E26*Assumptions!E30</f>
        <v>4237971.9255</v>
      </c>
      <c r="F29" s="34" t="n">
        <f aca="false">F26*Assumptions!F30</f>
        <v>4822440.280032</v>
      </c>
      <c r="G29" s="34" t="n">
        <f aca="false">G26*Assumptions!G30</f>
        <v>5632226.76316927</v>
      </c>
    </row>
    <row r="30" customFormat="false" ht="15" hidden="false" customHeight="false" outlineLevel="0" collapsed="false">
      <c r="A30" s="13" t="s">
        <v>201</v>
      </c>
      <c r="B30" s="11" t="s">
        <v>36</v>
      </c>
      <c r="C30" s="34" t="n">
        <f aca="false">C26*Assumptions!C31</f>
        <v>1176250</v>
      </c>
      <c r="D30" s="34" t="n">
        <f aca="false">D26*Assumptions!D31</f>
        <v>1921897.6</v>
      </c>
      <c r="E30" s="34" t="n">
        <f aca="false">E26*Assumptions!E31</f>
        <v>2825314.617</v>
      </c>
      <c r="F30" s="34" t="n">
        <f aca="false">F26*Assumptions!F31</f>
        <v>3857952.2240256</v>
      </c>
      <c r="G30" s="34" t="n">
        <f aca="false">G26*Assumptions!G31</f>
        <v>4742927.8005636</v>
      </c>
    </row>
    <row r="31" customFormat="false" ht="15" hidden="false" customHeight="false" outlineLevel="0" collapsed="false">
      <c r="A31" s="13" t="s">
        <v>202</v>
      </c>
      <c r="B31" s="11" t="s">
        <v>36</v>
      </c>
      <c r="C31" s="34" t="n">
        <f aca="false">C26*Assumptions!C32</f>
        <v>705750</v>
      </c>
      <c r="D31" s="34" t="n">
        <f aca="false">D26*Assumptions!D32</f>
        <v>1029588</v>
      </c>
      <c r="E31" s="34" t="n">
        <f aca="false">E26*Assumptions!E32</f>
        <v>1412657.3085</v>
      </c>
      <c r="F31" s="34" t="n">
        <f aca="false">F26*Assumptions!F32</f>
        <v>1808415.105012</v>
      </c>
      <c r="G31" s="34" t="n">
        <f aca="false">G26*Assumptions!G32</f>
        <v>2223247.40651419</v>
      </c>
    </row>
    <row r="32" customFormat="false" ht="15" hidden="false" customHeight="false" outlineLevel="0" collapsed="false">
      <c r="A32" s="13" t="s">
        <v>203</v>
      </c>
      <c r="B32" s="11" t="s">
        <v>36</v>
      </c>
      <c r="C32" s="34" t="n">
        <f aca="false">C26*Assumptions!C33</f>
        <v>235250</v>
      </c>
      <c r="D32" s="34" t="n">
        <f aca="false">D26*Assumptions!D33</f>
        <v>480474.4</v>
      </c>
      <c r="E32" s="34" t="n">
        <f aca="false">E26*Assumptions!E33</f>
        <v>941771.539</v>
      </c>
      <c r="F32" s="34" t="n">
        <f aca="false">F26*Assumptions!F33</f>
        <v>1567293.0910104</v>
      </c>
      <c r="G32" s="34" t="n">
        <f aca="false">G26*Assumptions!G33</f>
        <v>2223247.40651419</v>
      </c>
    </row>
    <row r="34" customFormat="false" ht="15" hidden="false" customHeight="false" outlineLevel="0" collapsed="false">
      <c r="A34" s="21" t="s">
        <v>204</v>
      </c>
      <c r="B34" s="21"/>
      <c r="C34" s="21"/>
      <c r="D34" s="21"/>
      <c r="E34" s="21"/>
      <c r="F34" s="21"/>
      <c r="G34" s="21"/>
      <c r="H34" s="21"/>
    </row>
    <row r="35" customFormat="false" ht="15" hidden="false" customHeight="false" outlineLevel="0" collapsed="false">
      <c r="A35" s="13" t="s">
        <v>200</v>
      </c>
      <c r="B35" s="11" t="s">
        <v>36</v>
      </c>
      <c r="C35" s="34" t="n">
        <f aca="false">C29*Assumptions!C35</f>
        <v>0</v>
      </c>
      <c r="D35" s="34" t="n">
        <f aca="false">D29*Assumptions!D35</f>
        <v>0</v>
      </c>
      <c r="E35" s="34" t="n">
        <f aca="false">E29*Assumptions!E35</f>
        <v>0</v>
      </c>
      <c r="F35" s="34" t="n">
        <f aca="false">F29*Assumptions!F35</f>
        <v>0</v>
      </c>
      <c r="G35" s="34" t="n">
        <f aca="false">G29*Assumptions!G35</f>
        <v>0</v>
      </c>
    </row>
    <row r="36" customFormat="false" ht="15" hidden="false" customHeight="false" outlineLevel="0" collapsed="false">
      <c r="A36" s="13" t="s">
        <v>201</v>
      </c>
      <c r="B36" s="11" t="s">
        <v>36</v>
      </c>
      <c r="C36" s="34" t="n">
        <f aca="false">C30*Assumptions!C36</f>
        <v>588125</v>
      </c>
      <c r="D36" s="34" t="n">
        <f aca="false">D30*Assumptions!D36</f>
        <v>960948.8</v>
      </c>
      <c r="E36" s="34" t="n">
        <f aca="false">E30*Assumptions!E36</f>
        <v>1412657.3085</v>
      </c>
      <c r="F36" s="34" t="n">
        <f aca="false">F30*Assumptions!F36</f>
        <v>1928976.1120128</v>
      </c>
      <c r="G36" s="34" t="n">
        <f aca="false">G30*Assumptions!G36</f>
        <v>2371463.9002818</v>
      </c>
    </row>
    <row r="37" customFormat="false" ht="15" hidden="false" customHeight="false" outlineLevel="0" collapsed="false">
      <c r="A37" s="13" t="s">
        <v>202</v>
      </c>
      <c r="B37" s="11" t="s">
        <v>36</v>
      </c>
      <c r="C37" s="34" t="n">
        <f aca="false">C31*Assumptions!C37</f>
        <v>105862.5</v>
      </c>
      <c r="D37" s="34" t="n">
        <f aca="false">D31*Assumptions!D37</f>
        <v>154438.2</v>
      </c>
      <c r="E37" s="34" t="n">
        <f aca="false">E31*Assumptions!E37</f>
        <v>211898.596275</v>
      </c>
      <c r="F37" s="34" t="n">
        <f aca="false">F31*Assumptions!F37</f>
        <v>271262.2657518</v>
      </c>
      <c r="G37" s="34" t="n">
        <f aca="false">G31*Assumptions!G37</f>
        <v>333487.110977128</v>
      </c>
    </row>
    <row r="38" customFormat="false" ht="15" hidden="false" customHeight="false" outlineLevel="0" collapsed="false">
      <c r="A38" s="13" t="s">
        <v>203</v>
      </c>
      <c r="B38" s="11" t="s">
        <v>36</v>
      </c>
      <c r="C38" s="34" t="n">
        <f aca="false">C32*Assumptions!C38</f>
        <v>141150</v>
      </c>
      <c r="D38" s="34" t="n">
        <f aca="false">D32*Assumptions!D38</f>
        <v>288284.64</v>
      </c>
      <c r="E38" s="34" t="n">
        <f aca="false">E32*Assumptions!E38</f>
        <v>565062.9234</v>
      </c>
      <c r="F38" s="34" t="n">
        <f aca="false">F32*Assumptions!F38</f>
        <v>940375.85460624</v>
      </c>
      <c r="G38" s="34" t="n">
        <f aca="false">G32*Assumptions!G38</f>
        <v>1333948.44390851</v>
      </c>
    </row>
    <row r="39" customFormat="false" ht="15" hidden="false" customHeight="false" outlineLevel="0" collapsed="false">
      <c r="A39" s="29" t="s">
        <v>205</v>
      </c>
      <c r="B39" s="30" t="s">
        <v>36</v>
      </c>
      <c r="C39" s="33" t="n">
        <f aca="false">SUM(C35:C38)</f>
        <v>835137.5</v>
      </c>
      <c r="D39" s="33" t="n">
        <f aca="false">SUM(D35:D38)</f>
        <v>1403671.64</v>
      </c>
      <c r="E39" s="33" t="n">
        <f aca="false">SUM(E35:E38)</f>
        <v>2189618.828175</v>
      </c>
      <c r="F39" s="33" t="n">
        <f aca="false">SUM(F35:F38)</f>
        <v>3140614.23237084</v>
      </c>
      <c r="G39" s="33" t="n">
        <f aca="false">SUM(G35:G38)</f>
        <v>4038899.45516744</v>
      </c>
    </row>
    <row r="41" customFormat="false" ht="15" hidden="false" customHeight="false" outlineLevel="0" collapsed="false">
      <c r="A41" s="21" t="s">
        <v>206</v>
      </c>
      <c r="B41" s="21"/>
      <c r="C41" s="21"/>
      <c r="D41" s="21"/>
      <c r="E41" s="21"/>
      <c r="F41" s="21"/>
      <c r="G41" s="21"/>
      <c r="H41" s="21"/>
    </row>
    <row r="42" customFormat="false" ht="15" hidden="false" customHeight="false" outlineLevel="0" collapsed="false">
      <c r="A42" s="13" t="s">
        <v>200</v>
      </c>
      <c r="B42" s="11" t="s">
        <v>36</v>
      </c>
      <c r="C42" s="34" t="n">
        <f aca="false">C29-C35-C29*(Assumptions!C39+Assumptions!C40)</f>
        <v>2277220</v>
      </c>
      <c r="D42" s="34" t="n">
        <f aca="false">D29-D35-D29*(Assumptions!D39+Assumptions!D40)</f>
        <v>3020124.8</v>
      </c>
      <c r="E42" s="34" t="n">
        <f aca="false">E29-E35-E29*(Assumptions!E39+Assumptions!E40)</f>
        <v>3792984.8733225</v>
      </c>
      <c r="F42" s="34" t="n">
        <f aca="false">F29-F35-F29*(Assumptions!F39+Assumptions!F40)</f>
        <v>4316084.05062864</v>
      </c>
      <c r="G42" s="34" t="n">
        <f aca="false">G29-G35-G29*(Assumptions!G39+Assumptions!G40)</f>
        <v>5069004.08685234</v>
      </c>
    </row>
    <row r="43" customFormat="false" ht="15" hidden="false" customHeight="false" outlineLevel="0" collapsed="false">
      <c r="A43" s="13" t="s">
        <v>201</v>
      </c>
      <c r="B43" s="11" t="s">
        <v>36</v>
      </c>
      <c r="C43" s="34" t="n">
        <f aca="false">C30-C36-C30*(Assumptions!C39+Assumptions!C40)</f>
        <v>446975</v>
      </c>
      <c r="D43" s="34" t="n">
        <f aca="false">D30-D36-D30*(Assumptions!D39+Assumptions!D40)</f>
        <v>730321.088</v>
      </c>
      <c r="E43" s="34" t="n">
        <f aca="false">E30-E36-E30*(Assumptions!E39+Assumptions!E40)</f>
        <v>1115999.273715</v>
      </c>
      <c r="F43" s="34" t="n">
        <f aca="false">F30-F36-F30*(Assumptions!F39+Assumptions!F40)</f>
        <v>1523891.12849011</v>
      </c>
      <c r="G43" s="34" t="n">
        <f aca="false">G30-G36-G30*(Assumptions!G39+Assumptions!G40)</f>
        <v>1897171.12022544</v>
      </c>
    </row>
    <row r="44" customFormat="false" ht="15" hidden="false" customHeight="false" outlineLevel="0" collapsed="false">
      <c r="A44" s="13" t="s">
        <v>202</v>
      </c>
      <c r="B44" s="11" t="s">
        <v>36</v>
      </c>
      <c r="C44" s="34" t="n">
        <f aca="false">C31-C37-C31*(Assumptions!C39+Assumptions!C40)</f>
        <v>515197.5</v>
      </c>
      <c r="D44" s="34" t="n">
        <f aca="false">D31-D37-D31*(Assumptions!D39+Assumptions!D40)</f>
        <v>751599.24</v>
      </c>
      <c r="E44" s="34" t="n">
        <f aca="false">E31-E37-E31*(Assumptions!E39+Assumptions!E40)</f>
        <v>1052429.6948325</v>
      </c>
      <c r="F44" s="34" t="n">
        <f aca="false">F31-F37-F31*(Assumptions!F39+Assumptions!F40)</f>
        <v>1347269.25323394</v>
      </c>
      <c r="G44" s="34" t="n">
        <f aca="false">G31-G37-G31*(Assumptions!G39+Assumptions!G40)</f>
        <v>1667435.55488564</v>
      </c>
    </row>
    <row r="45" customFormat="false" ht="15" hidden="false" customHeight="false" outlineLevel="0" collapsed="false">
      <c r="A45" s="13" t="s">
        <v>203</v>
      </c>
      <c r="B45" s="11" t="s">
        <v>36</v>
      </c>
      <c r="C45" s="34" t="n">
        <f aca="false">C32-C38-C32*(Assumptions!C39+Assumptions!C40)</f>
        <v>65870</v>
      </c>
      <c r="D45" s="34" t="n">
        <f aca="false">D32-D38-D32*(Assumptions!D39+Assumptions!D40)</f>
        <v>134532.832</v>
      </c>
      <c r="E45" s="34" t="n">
        <f aca="false">E32-E38-E32*(Assumptions!E39+Assumptions!E40)</f>
        <v>277822.604005</v>
      </c>
      <c r="F45" s="34" t="n">
        <f aca="false">F32-F38-F32*(Assumptions!F39+Assumptions!F40)</f>
        <v>462351.461848068</v>
      </c>
      <c r="G45" s="34" t="n">
        <f aca="false">G32-G38-G32*(Assumptions!G39+Assumptions!G40)</f>
        <v>666974.221954256</v>
      </c>
    </row>
    <row r="46" customFormat="false" ht="15" hidden="false" customHeight="false" outlineLevel="0" collapsed="false">
      <c r="A46" s="29" t="s">
        <v>207</v>
      </c>
      <c r="B46" s="30" t="s">
        <v>36</v>
      </c>
      <c r="C46" s="33" t="n">
        <f aca="false">SUM(C42:C45)</f>
        <v>3305262.5</v>
      </c>
      <c r="D46" s="33" t="n">
        <f aca="false">SUM(D42:D45)</f>
        <v>4636577.96</v>
      </c>
      <c r="E46" s="33" t="n">
        <f aca="false">SUM(E42:E45)</f>
        <v>6239236.445875</v>
      </c>
      <c r="F46" s="33" t="n">
        <f aca="false">SUM(F42:F45)</f>
        <v>7649595.89420076</v>
      </c>
      <c r="G46" s="33" t="n">
        <f aca="false">SUM(G42:G45)</f>
        <v>9300584.98391768</v>
      </c>
    </row>
    <row r="48" customFormat="false" ht="15" hidden="false" customHeight="false" outlineLevel="0" collapsed="false">
      <c r="A48" s="21" t="s">
        <v>208</v>
      </c>
      <c r="B48" s="21"/>
      <c r="C48" s="21"/>
      <c r="D48" s="21"/>
      <c r="E48" s="21"/>
      <c r="F48" s="21"/>
      <c r="G48" s="21"/>
      <c r="H48" s="21"/>
    </row>
    <row r="49" customFormat="false" ht="15" hidden="false" customHeight="false" outlineLevel="0" collapsed="false">
      <c r="A49" s="13" t="s">
        <v>190</v>
      </c>
      <c r="B49" s="11" t="s">
        <v>52</v>
      </c>
      <c r="C49" s="17" t="n">
        <f aca="false">Assumptions!$C$43+Assumptions!$C$48</f>
        <v>4.8</v>
      </c>
      <c r="D49" s="17" t="n">
        <f aca="false">C49*(1+Assumptions!D53)*(1-Assumptions!D54)</f>
        <v>4.84512</v>
      </c>
      <c r="E49" s="17" t="n">
        <f aca="false">D49*(1+Assumptions!E53)*(1-Assumptions!E54)</f>
        <v>4.890664128</v>
      </c>
      <c r="F49" s="17" t="n">
        <f aca="false">E49*(1+Assumptions!F53)*(1-Assumptions!F54)</f>
        <v>4.937736770232</v>
      </c>
      <c r="G49" s="17" t="n">
        <f aca="false">F49*(1+Assumptions!G53)*(1-Assumptions!G54)</f>
        <v>5.01056838759292</v>
      </c>
    </row>
    <row r="50" customFormat="false" ht="15" hidden="false" customHeight="false" outlineLevel="0" collapsed="false">
      <c r="A50" s="13" t="s">
        <v>191</v>
      </c>
      <c r="B50" s="11" t="s">
        <v>52</v>
      </c>
      <c r="C50" s="17" t="n">
        <f aca="false">Assumptions!$C$44+Assumptions!$C$49</f>
        <v>2.8</v>
      </c>
      <c r="D50" s="17" t="n">
        <f aca="false">C50*(1+Assumptions!D53)*(1-Assumptions!D54)</f>
        <v>2.82632</v>
      </c>
      <c r="E50" s="17" t="n">
        <f aca="false">D50*(1+Assumptions!E53)*(1-Assumptions!E54)</f>
        <v>2.852887408</v>
      </c>
      <c r="F50" s="17" t="n">
        <f aca="false">E50*(1+Assumptions!F53)*(1-Assumptions!F54)</f>
        <v>2.880346449302</v>
      </c>
      <c r="G50" s="17" t="n">
        <f aca="false">F50*(1+Assumptions!G53)*(1-Assumptions!G54)</f>
        <v>2.9228315594292</v>
      </c>
    </row>
    <row r="51" customFormat="false" ht="15" hidden="false" customHeight="false" outlineLevel="0" collapsed="false">
      <c r="A51" s="13" t="s">
        <v>192</v>
      </c>
      <c r="B51" s="11" t="s">
        <v>52</v>
      </c>
      <c r="C51" s="17" t="n">
        <f aca="false">Assumptions!$C$45+Assumptions!$C$50</f>
        <v>3.6</v>
      </c>
      <c r="D51" s="17" t="n">
        <f aca="false">C51*(1+Assumptions!D53)*(1-Assumptions!D54)</f>
        <v>3.63384</v>
      </c>
      <c r="E51" s="17" t="n">
        <f aca="false">D51*(1+Assumptions!E53)*(1-Assumptions!E54)</f>
        <v>3.667998096</v>
      </c>
      <c r="F51" s="17" t="n">
        <f aca="false">E51*(1+Assumptions!F53)*(1-Assumptions!F54)</f>
        <v>3.703302577674</v>
      </c>
      <c r="G51" s="17" t="n">
        <f aca="false">F51*(1+Assumptions!G53)*(1-Assumptions!G54)</f>
        <v>3.75792629069469</v>
      </c>
    </row>
    <row r="52" customFormat="false" ht="15" hidden="false" customHeight="false" outlineLevel="0" collapsed="false">
      <c r="A52" s="13" t="s">
        <v>193</v>
      </c>
      <c r="B52" s="11" t="s">
        <v>52</v>
      </c>
      <c r="C52" s="17" t="n">
        <f aca="false">Assumptions!$C$46+Assumptions!$C$51</f>
        <v>10</v>
      </c>
      <c r="D52" s="17" t="n">
        <f aca="false">C52*(1+Assumptions!D53)*(1-Assumptions!D54)</f>
        <v>10.094</v>
      </c>
      <c r="E52" s="17" t="n">
        <f aca="false">D52*(1+Assumptions!E53)*(1-Assumptions!E54)</f>
        <v>10.1888836</v>
      </c>
      <c r="F52" s="17" t="n">
        <f aca="false">E52*(1+Assumptions!F53)*(1-Assumptions!F54)</f>
        <v>10.28695160465</v>
      </c>
      <c r="G52" s="17" t="n">
        <f aca="false">F52*(1+Assumptions!G53)*(1-Assumptions!G54)</f>
        <v>10.4386841408186</v>
      </c>
    </row>
    <row r="53" customFormat="false" ht="15" hidden="false" customHeight="false" outlineLevel="0" collapsed="false">
      <c r="A53" s="13" t="s">
        <v>194</v>
      </c>
      <c r="B53" s="11" t="s">
        <v>52</v>
      </c>
      <c r="C53" s="17" t="n">
        <f aca="false">Assumptions!$C$47+Assumptions!$C$52</f>
        <v>2.2</v>
      </c>
      <c r="D53" s="17" t="n">
        <f aca="false">C53*(1+Assumptions!D53)*(1-Assumptions!D54)</f>
        <v>2.22068</v>
      </c>
      <c r="E53" s="17" t="n">
        <f aca="false">D53*(1+Assumptions!E53)*(1-Assumptions!E54)</f>
        <v>2.241554392</v>
      </c>
      <c r="F53" s="17" t="n">
        <f aca="false">E53*(1+Assumptions!F53)*(1-Assumptions!F54)</f>
        <v>2.263129353023</v>
      </c>
      <c r="G53" s="17" t="n">
        <f aca="false">F53*(1+Assumptions!G53)*(1-Assumptions!G54)</f>
        <v>2.29651051098009</v>
      </c>
    </row>
    <row r="55" customFormat="false" ht="15" hidden="false" customHeight="false" outlineLevel="0" collapsed="false">
      <c r="A55" s="21" t="s">
        <v>209</v>
      </c>
      <c r="B55" s="21"/>
      <c r="C55" s="21"/>
      <c r="D55" s="21"/>
      <c r="E55" s="21"/>
      <c r="F55" s="21"/>
      <c r="G55" s="21"/>
      <c r="H55" s="21"/>
    </row>
    <row r="56" customFormat="false" ht="15" hidden="false" customHeight="false" outlineLevel="0" collapsed="false">
      <c r="A56" s="13" t="s">
        <v>190</v>
      </c>
      <c r="B56" s="11" t="s">
        <v>36</v>
      </c>
      <c r="C56" s="32" t="n">
        <f aca="false">C6*C49</f>
        <v>336000</v>
      </c>
      <c r="D56" s="32" t="n">
        <f aca="false">D6*D49</f>
        <v>491779.68</v>
      </c>
      <c r="E56" s="32" t="n">
        <f aca="false">E6*E49</f>
        <v>670143.2521392</v>
      </c>
      <c r="F56" s="32" t="n">
        <f aca="false">F6*F49</f>
        <v>845741.7261763</v>
      </c>
      <c r="G56" s="32" t="n">
        <f aca="false">G6*G49</f>
        <v>1029859.69996488</v>
      </c>
    </row>
    <row r="57" customFormat="false" ht="15" hidden="false" customHeight="false" outlineLevel="0" collapsed="false">
      <c r="A57" s="13" t="s">
        <v>191</v>
      </c>
      <c r="B57" s="11" t="s">
        <v>36</v>
      </c>
      <c r="C57" s="32" t="n">
        <f aca="false">C7*C50</f>
        <v>98000</v>
      </c>
      <c r="D57" s="32" t="n">
        <f aca="false">D7*D50</f>
        <v>138489.68</v>
      </c>
      <c r="E57" s="32" t="n">
        <f aca="false">E7*E50</f>
        <v>181728.9278896</v>
      </c>
      <c r="F57" s="32" t="n">
        <f aca="false">F7*F50</f>
        <v>229347.586025672</v>
      </c>
      <c r="G57" s="32" t="n">
        <f aca="false">G7*G50</f>
        <v>279276.55550346</v>
      </c>
    </row>
    <row r="58" customFormat="false" ht="15" hidden="false" customHeight="false" outlineLevel="0" collapsed="false">
      <c r="A58" s="13" t="s">
        <v>192</v>
      </c>
      <c r="B58" s="11" t="s">
        <v>36</v>
      </c>
      <c r="C58" s="32" t="n">
        <f aca="false">C8*C51</f>
        <v>162000</v>
      </c>
      <c r="D58" s="32" t="n">
        <f aca="false">D8*D51</f>
        <v>220755.78</v>
      </c>
      <c r="E58" s="32" t="n">
        <f aca="false">E8*E51</f>
        <v>289680.1496316</v>
      </c>
      <c r="F58" s="32" t="n">
        <f aca="false">F8*F51</f>
        <v>350961.985286165</v>
      </c>
      <c r="G58" s="32" t="n">
        <f aca="false">G8*G51</f>
        <v>409559.475754506</v>
      </c>
    </row>
    <row r="59" customFormat="false" ht="15" hidden="false" customHeight="false" outlineLevel="0" collapsed="false">
      <c r="A59" s="13" t="s">
        <v>193</v>
      </c>
      <c r="B59" s="11" t="s">
        <v>36</v>
      </c>
      <c r="C59" s="32" t="n">
        <f aca="false">C9*C52</f>
        <v>90000</v>
      </c>
      <c r="D59" s="32" t="n">
        <f aca="false">D9*D52</f>
        <v>136269</v>
      </c>
      <c r="E59" s="32" t="n">
        <f aca="false">E9*E52</f>
        <v>192569.90004</v>
      </c>
      <c r="F59" s="32" t="n">
        <f aca="false">F9*F52</f>
        <v>252750.400926251</v>
      </c>
      <c r="G59" s="32" t="n">
        <f aca="false">G9*G52</f>
        <v>320598.086674891</v>
      </c>
    </row>
    <row r="60" customFormat="false" ht="15" hidden="false" customHeight="false" outlineLevel="0" collapsed="false">
      <c r="A60" s="13" t="s">
        <v>194</v>
      </c>
      <c r="B60" s="11" t="s">
        <v>36</v>
      </c>
      <c r="C60" s="32" t="n">
        <f aca="false">C10*C53</f>
        <v>55000</v>
      </c>
      <c r="D60" s="32" t="n">
        <f aca="false">D10*D53</f>
        <v>72172.1</v>
      </c>
      <c r="E60" s="32" t="n">
        <f aca="false">E10*E53</f>
        <v>91063.147175</v>
      </c>
      <c r="F60" s="32" t="n">
        <f aca="false">F10*F53</f>
        <v>110327.555959871</v>
      </c>
      <c r="G60" s="32" t="n">
        <f aca="false">G10*G53</f>
        <v>128748.120521821</v>
      </c>
    </row>
    <row r="61" customFormat="false" ht="15" hidden="false" customHeight="false" outlineLevel="0" collapsed="false">
      <c r="A61" s="29" t="s">
        <v>210</v>
      </c>
      <c r="B61" s="30" t="s">
        <v>36</v>
      </c>
      <c r="C61" s="33" t="n">
        <f aca="false">SUM(C56:C60)</f>
        <v>741000</v>
      </c>
      <c r="D61" s="33" t="n">
        <f aca="false">SUM(D56:D60)</f>
        <v>1059466.24</v>
      </c>
      <c r="E61" s="33" t="n">
        <f aca="false">SUM(E56:E60)</f>
        <v>1425185.3768754</v>
      </c>
      <c r="F61" s="33" t="n">
        <f aca="false">SUM(F56:F60)</f>
        <v>1789129.25437426</v>
      </c>
      <c r="G61" s="33" t="n">
        <f aca="false">SUM(G56:G60)</f>
        <v>2168041.93841956</v>
      </c>
    </row>
    <row r="63" customFormat="false" ht="15" hidden="false" customHeight="false" outlineLevel="0" collapsed="false">
      <c r="A63" s="21" t="s">
        <v>211</v>
      </c>
      <c r="B63" s="21"/>
      <c r="C63" s="21"/>
      <c r="D63" s="21"/>
      <c r="E63" s="21"/>
      <c r="F63" s="21"/>
      <c r="G63" s="21"/>
      <c r="H63" s="21"/>
    </row>
    <row r="64" customFormat="false" ht="15" hidden="false" customHeight="false" outlineLevel="0" collapsed="false">
      <c r="A64" s="13" t="s">
        <v>190</v>
      </c>
      <c r="B64" s="11" t="s">
        <v>38</v>
      </c>
      <c r="C64" s="35" t="n">
        <f aca="false">IFERROR(1-C56/C21,0)</f>
        <v>0.85</v>
      </c>
      <c r="D64" s="35" t="n">
        <f aca="false">IFERROR(1-D56/D21,0)</f>
        <v>0.853</v>
      </c>
      <c r="E64" s="35" t="n">
        <f aca="false">IFERROR(1-E56/E21,0)</f>
        <v>0.85594</v>
      </c>
      <c r="F64" s="35" t="n">
        <f aca="false">IFERROR(1-F56/F21,0)</f>
        <v>0.858789730582524</v>
      </c>
      <c r="G64" s="35" t="n">
        <f aca="false">IFERROR(1-G56/G21,0)</f>
        <v>0.860880465153997</v>
      </c>
    </row>
    <row r="65" customFormat="false" ht="15" hidden="false" customHeight="false" outlineLevel="0" collapsed="false">
      <c r="A65" s="13" t="s">
        <v>191</v>
      </c>
      <c r="B65" s="11" t="s">
        <v>38</v>
      </c>
      <c r="C65" s="35" t="n">
        <f aca="false">IFERROR(1-C57/C22,0)</f>
        <v>0.844444444444444</v>
      </c>
      <c r="D65" s="35" t="n">
        <f aca="false">IFERROR(1-D57/D22,0)</f>
        <v>0.847555555555556</v>
      </c>
      <c r="E65" s="35" t="n">
        <f aca="false">IFERROR(1-E57/E22,0)</f>
        <v>0.850604444444445</v>
      </c>
      <c r="F65" s="35" t="n">
        <f aca="false">IFERROR(1-F57/F22,0)</f>
        <v>0.853559720604099</v>
      </c>
      <c r="G65" s="35" t="n">
        <f aca="false">IFERROR(1-G57/G22,0)</f>
        <v>0.85572788978933</v>
      </c>
    </row>
    <row r="66" customFormat="false" ht="15" hidden="false" customHeight="false" outlineLevel="0" collapsed="false">
      <c r="A66" s="13" t="s">
        <v>192</v>
      </c>
      <c r="B66" s="11" t="s">
        <v>38</v>
      </c>
      <c r="C66" s="35" t="n">
        <f aca="false">IFERROR(1-C58/C23,0)</f>
        <v>0.836363636363636</v>
      </c>
      <c r="D66" s="35" t="n">
        <f aca="false">IFERROR(1-D58/D23,0)</f>
        <v>0.839636363636364</v>
      </c>
      <c r="E66" s="35" t="n">
        <f aca="false">IFERROR(1-E58/E23,0)</f>
        <v>0.842843636363636</v>
      </c>
      <c r="F66" s="35" t="n">
        <f aca="false">IFERROR(1-F58/F23,0)</f>
        <v>0.845952433362754</v>
      </c>
      <c r="G66" s="35" t="n">
        <f aca="false">IFERROR(1-G58/G23,0)</f>
        <v>0.848233234713451</v>
      </c>
    </row>
    <row r="67" customFormat="false" ht="15" hidden="false" customHeight="false" outlineLevel="0" collapsed="false">
      <c r="A67" s="13" t="s">
        <v>193</v>
      </c>
      <c r="B67" s="11" t="s">
        <v>38</v>
      </c>
      <c r="C67" s="35" t="n">
        <f aca="false">IFERROR(1-C59/C24,0)</f>
        <v>0.818181818181818</v>
      </c>
      <c r="D67" s="35" t="n">
        <f aca="false">IFERROR(1-D59/D24,0)</f>
        <v>0.821818181818182</v>
      </c>
      <c r="E67" s="35" t="n">
        <f aca="false">IFERROR(1-E59/E24,0)</f>
        <v>0.825381818181818</v>
      </c>
      <c r="F67" s="35" t="n">
        <f aca="false">IFERROR(1-F59/F24,0)</f>
        <v>0.828836037069726</v>
      </c>
      <c r="G67" s="35" t="n">
        <f aca="false">IFERROR(1-G59/G24,0)</f>
        <v>0.831370260792723</v>
      </c>
    </row>
    <row r="68" customFormat="false" ht="15" hidden="false" customHeight="false" outlineLevel="0" collapsed="false">
      <c r="A68" s="13" t="s">
        <v>194</v>
      </c>
      <c r="B68" s="11" t="s">
        <v>38</v>
      </c>
      <c r="C68" s="35" t="n">
        <f aca="false">IFERROR(1-C60/C25,0)</f>
        <v>0.842857142857143</v>
      </c>
      <c r="D68" s="35" t="n">
        <f aca="false">IFERROR(1-D60/D25,0)</f>
        <v>0.846</v>
      </c>
      <c r="E68" s="35" t="n">
        <f aca="false">IFERROR(1-E60/E25,0)</f>
        <v>0.84908</v>
      </c>
      <c r="F68" s="35" t="n">
        <f aca="false">IFERROR(1-F60/F25,0)</f>
        <v>0.852065432038835</v>
      </c>
      <c r="G68" s="35" t="n">
        <f aca="false">IFERROR(1-G60/G25,0)</f>
        <v>0.854255725399425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7" t="s">
        <v>212</v>
      </c>
    </row>
    <row r="2" customFormat="false" ht="15" hidden="false" customHeight="false" outlineLevel="0" collapsed="false">
      <c r="A2" s="8" t="s">
        <v>213</v>
      </c>
    </row>
    <row r="4" customFormat="false" ht="15" hidden="false" customHeight="false" outlineLevel="0" collapsed="false">
      <c r="A4" s="9" t="s">
        <v>36</v>
      </c>
      <c r="B4" s="10" t="s">
        <v>34</v>
      </c>
      <c r="C4" s="10" t="str">
        <f aca="false">"FY"&amp;(Assumptions!$C$6+0)</f>
        <v>FY2027</v>
      </c>
      <c r="D4" s="10" t="str">
        <f aca="false">"FY"&amp;(Assumptions!$C$6+1)</f>
        <v>FY2028</v>
      </c>
      <c r="E4" s="10" t="str">
        <f aca="false">"FY"&amp;(Assumptions!$C$6+2)</f>
        <v>FY2029</v>
      </c>
      <c r="F4" s="10" t="str">
        <f aca="false">"FY"&amp;(Assumptions!$C$6+3)</f>
        <v>FY2030</v>
      </c>
      <c r="G4" s="10" t="str">
        <f aca="false">"FY"&amp;(Assumptions!$C$6+4)</f>
        <v>FY2031</v>
      </c>
      <c r="H4" s="10" t="s">
        <v>62</v>
      </c>
    </row>
    <row r="5" customFormat="false" ht="15" hidden="false" customHeight="false" outlineLevel="0" collapsed="false">
      <c r="A5" s="21" t="s">
        <v>214</v>
      </c>
      <c r="B5" s="21"/>
      <c r="C5" s="21"/>
      <c r="D5" s="21"/>
      <c r="E5" s="21"/>
      <c r="F5" s="21"/>
      <c r="G5" s="21"/>
      <c r="H5" s="21"/>
    </row>
    <row r="6" customFormat="false" ht="15" hidden="false" customHeight="false" outlineLevel="0" collapsed="false">
      <c r="A6" s="13" t="s">
        <v>215</v>
      </c>
      <c r="B6" s="11" t="s">
        <v>36</v>
      </c>
      <c r="C6" s="34" t="n">
        <f aca="false">'Revenue Build'!C26</f>
        <v>4705000</v>
      </c>
      <c r="D6" s="34" t="n">
        <f aca="false">'Revenue Build'!D26</f>
        <v>6863920</v>
      </c>
      <c r="E6" s="34" t="n">
        <f aca="false">'Revenue Build'!E26</f>
        <v>9417715.39</v>
      </c>
      <c r="F6" s="34" t="n">
        <f aca="false">'Revenue Build'!F26</f>
        <v>12056100.70008</v>
      </c>
      <c r="G6" s="34" t="n">
        <f aca="false">'Revenue Build'!G26</f>
        <v>14821649.3767612</v>
      </c>
    </row>
    <row r="7" customFormat="false" ht="15" hidden="false" customHeight="false" outlineLevel="0" collapsed="false">
      <c r="A7" s="13" t="s">
        <v>216</v>
      </c>
      <c r="B7" s="11" t="s">
        <v>36</v>
      </c>
      <c r="C7" s="34" t="n">
        <f aca="false">-'Revenue Build'!C39</f>
        <v>-835137.5</v>
      </c>
      <c r="D7" s="34" t="n">
        <f aca="false">-'Revenue Build'!D39</f>
        <v>-1403671.64</v>
      </c>
      <c r="E7" s="34" t="n">
        <f aca="false">-'Revenue Build'!E39</f>
        <v>-2189618.828175</v>
      </c>
      <c r="F7" s="34" t="n">
        <f aca="false">-'Revenue Build'!F39</f>
        <v>-3140614.23237084</v>
      </c>
      <c r="G7" s="34" t="n">
        <f aca="false">-'Revenue Build'!G39</f>
        <v>-4038899.45516744</v>
      </c>
    </row>
    <row r="8" customFormat="false" ht="15" hidden="false" customHeight="false" outlineLevel="0" collapsed="false">
      <c r="A8" s="13" t="s">
        <v>217</v>
      </c>
      <c r="B8" s="11" t="s">
        <v>36</v>
      </c>
      <c r="C8" s="34" t="n">
        <f aca="false">-C6*Assumptions!C39</f>
        <v>-376400</v>
      </c>
      <c r="D8" s="34" t="n">
        <f aca="false">-D6*Assumptions!D39</f>
        <v>-549113.6</v>
      </c>
      <c r="E8" s="34" t="n">
        <f aca="false">-E6*Assumptions!E39</f>
        <v>-659240.0773</v>
      </c>
      <c r="F8" s="34" t="n">
        <f aca="false">-F6*Assumptions!F39</f>
        <v>-843927.0490056</v>
      </c>
      <c r="G8" s="34" t="n">
        <f aca="false">-G6*Assumptions!G39</f>
        <v>-1037515.45637329</v>
      </c>
    </row>
    <row r="9" customFormat="false" ht="15" hidden="false" customHeight="false" outlineLevel="0" collapsed="false">
      <c r="A9" s="13" t="s">
        <v>218</v>
      </c>
      <c r="B9" s="11" t="s">
        <v>36</v>
      </c>
      <c r="C9" s="34" t="n">
        <f aca="false">-C6*Assumptions!C40</f>
        <v>-188200</v>
      </c>
      <c r="D9" s="34" t="n">
        <f aca="false">-D6*Assumptions!D40</f>
        <v>-274556.8</v>
      </c>
      <c r="E9" s="34" t="n">
        <f aca="false">-E6*Assumptions!E40</f>
        <v>-329620.03865</v>
      </c>
      <c r="F9" s="34" t="n">
        <f aca="false">-F6*Assumptions!F40</f>
        <v>-421963.5245028</v>
      </c>
      <c r="G9" s="34" t="n">
        <f aca="false">-G6*Assumptions!G40</f>
        <v>-444649.481302837</v>
      </c>
    </row>
    <row r="10" customFormat="false" ht="15" hidden="false" customHeight="false" outlineLevel="0" collapsed="false">
      <c r="A10" s="36" t="s">
        <v>35</v>
      </c>
      <c r="B10" s="37" t="s">
        <v>36</v>
      </c>
      <c r="C10" s="38" t="n">
        <f aca="false">SUM(C6:C9)</f>
        <v>3305262.5</v>
      </c>
      <c r="D10" s="38" t="n">
        <f aca="false">SUM(D6:D9)</f>
        <v>4636577.96</v>
      </c>
      <c r="E10" s="38" t="n">
        <f aca="false">SUM(E6:E9)</f>
        <v>6239236.445875</v>
      </c>
      <c r="F10" s="38" t="n">
        <f aca="false">SUM(F6:F9)</f>
        <v>7649595.89420076</v>
      </c>
      <c r="G10" s="38" t="n">
        <f aca="false">SUM(G6:G9)</f>
        <v>9300584.98391768</v>
      </c>
    </row>
    <row r="11" customFormat="false" ht="15" hidden="false" customHeight="false" outlineLevel="0" collapsed="false">
      <c r="A11" s="13" t="s">
        <v>219</v>
      </c>
      <c r="B11" s="11" t="s">
        <v>38</v>
      </c>
      <c r="D11" s="35" t="n">
        <f aca="false">IFERROR(D10/C10-1,0)</f>
        <v>0.402786604694786</v>
      </c>
      <c r="E11" s="35" t="n">
        <f aca="false">IFERROR(E10/D10-1,0)</f>
        <v>0.345655459630188</v>
      </c>
      <c r="F11" s="35" t="n">
        <f aca="false">IFERROR(F10/E10-1,0)</f>
        <v>0.226046802450996</v>
      </c>
      <c r="G11" s="35" t="n">
        <f aca="false">IFERROR(G10/F10-1,0)</f>
        <v>0.215826968189071</v>
      </c>
    </row>
    <row r="13" customFormat="false" ht="15" hidden="false" customHeight="false" outlineLevel="0" collapsed="false">
      <c r="A13" s="21" t="s">
        <v>220</v>
      </c>
      <c r="B13" s="21"/>
      <c r="C13" s="21"/>
      <c r="D13" s="21"/>
      <c r="E13" s="21"/>
      <c r="F13" s="21"/>
      <c r="G13" s="21"/>
      <c r="H13" s="21"/>
    </row>
    <row r="14" customFormat="false" ht="15" hidden="false" customHeight="false" outlineLevel="0" collapsed="false">
      <c r="A14" s="13" t="s">
        <v>221</v>
      </c>
      <c r="B14" s="11" t="s">
        <v>36</v>
      </c>
      <c r="C14" s="34" t="n">
        <f aca="false">'Revenue Build'!C61</f>
        <v>741000</v>
      </c>
      <c r="D14" s="34" t="n">
        <f aca="false">'Revenue Build'!D61</f>
        <v>1059466.24</v>
      </c>
      <c r="E14" s="34" t="n">
        <f aca="false">'Revenue Build'!E61</f>
        <v>1425185.3768754</v>
      </c>
      <c r="F14" s="34" t="n">
        <f aca="false">'Revenue Build'!F61</f>
        <v>1789129.25437426</v>
      </c>
      <c r="G14" s="34" t="n">
        <f aca="false">'Revenue Build'!G61</f>
        <v>2168041.93841956</v>
      </c>
    </row>
    <row r="15" customFormat="false" ht="15" hidden="false" customHeight="false" outlineLevel="0" collapsed="false">
      <c r="A15" s="13" t="s">
        <v>222</v>
      </c>
      <c r="B15" s="11" t="s">
        <v>36</v>
      </c>
      <c r="C15" s="34" t="n">
        <f aca="false">Assumptions!C55*C10</f>
        <v>132210.5</v>
      </c>
      <c r="D15" s="34" t="n">
        <f aca="false">Assumptions!D55*D10</f>
        <v>185463.1184</v>
      </c>
      <c r="E15" s="34" t="n">
        <f aca="false">Assumptions!E55*E10</f>
        <v>218373.275605625</v>
      </c>
      <c r="F15" s="34" t="n">
        <f aca="false">Assumptions!F55*F10</f>
        <v>267735.856297027</v>
      </c>
      <c r="G15" s="34" t="n">
        <f aca="false">Assumptions!G55*G10</f>
        <v>325520.474437119</v>
      </c>
    </row>
    <row r="16" customFormat="false" ht="15" hidden="false" customHeight="false" outlineLevel="0" collapsed="false">
      <c r="A16" s="13" t="s">
        <v>223</v>
      </c>
      <c r="B16" s="11" t="s">
        <v>36</v>
      </c>
      <c r="C16" s="34" t="n">
        <f aca="false">Assumptions!C56*C10</f>
        <v>231368.375</v>
      </c>
      <c r="D16" s="34" t="n">
        <f aca="false">Assumptions!D56*D10</f>
        <v>301377.5674</v>
      </c>
      <c r="E16" s="34" t="n">
        <f aca="false">Assumptions!E56*E10</f>
        <v>374354.1867525</v>
      </c>
      <c r="F16" s="34" t="n">
        <f aca="false">Assumptions!F56*F10</f>
        <v>420727.774181042</v>
      </c>
      <c r="G16" s="34" t="n">
        <f aca="false">Assumptions!G56*G10</f>
        <v>511532.174115472</v>
      </c>
    </row>
    <row r="17" customFormat="false" ht="15" hidden="false" customHeight="false" outlineLevel="0" collapsed="false">
      <c r="A17" s="13" t="s">
        <v>224</v>
      </c>
      <c r="B17" s="11" t="s">
        <v>36</v>
      </c>
      <c r="C17" s="34" t="n">
        <f aca="false">Assumptions!C57*C10</f>
        <v>66105.25</v>
      </c>
      <c r="D17" s="34" t="n">
        <f aca="false">Assumptions!D57*D10</f>
        <v>92731.5592</v>
      </c>
      <c r="E17" s="34" t="n">
        <f aca="false">Assumptions!E57*E10</f>
        <v>93588.546688125</v>
      </c>
      <c r="F17" s="34" t="n">
        <f aca="false">Assumptions!F57*F10</f>
        <v>114743.938413011</v>
      </c>
      <c r="G17" s="34" t="n">
        <f aca="false">Assumptions!G57*G10</f>
        <v>139508.774758765</v>
      </c>
    </row>
    <row r="18" customFormat="false" ht="15" hidden="false" customHeight="false" outlineLevel="0" collapsed="false">
      <c r="A18" s="29" t="s">
        <v>225</v>
      </c>
      <c r="B18" s="30" t="s">
        <v>36</v>
      </c>
      <c r="C18" s="33" t="n">
        <f aca="false">SUM(C14:C17)</f>
        <v>1170684.125</v>
      </c>
      <c r="D18" s="33" t="n">
        <f aca="false">SUM(D14:D17)</f>
        <v>1639038.485</v>
      </c>
      <c r="E18" s="33" t="n">
        <f aca="false">SUM(E14:E17)</f>
        <v>2111501.38592165</v>
      </c>
      <c r="F18" s="33" t="n">
        <f aca="false">SUM(F14:F17)</f>
        <v>2592336.82326534</v>
      </c>
      <c r="G18" s="33" t="n">
        <f aca="false">SUM(G14:G17)</f>
        <v>3144603.36173091</v>
      </c>
    </row>
    <row r="20" customFormat="false" ht="15" hidden="false" customHeight="false" outlineLevel="0" collapsed="false">
      <c r="A20" s="36" t="s">
        <v>39</v>
      </c>
      <c r="B20" s="37" t="s">
        <v>36</v>
      </c>
      <c r="C20" s="38" t="n">
        <f aca="false">C10-C18</f>
        <v>2134578.375</v>
      </c>
      <c r="D20" s="38" t="n">
        <f aca="false">D10-D18</f>
        <v>2997539.475</v>
      </c>
      <c r="E20" s="38" t="n">
        <f aca="false">E10-E18</f>
        <v>4127735.05995335</v>
      </c>
      <c r="F20" s="38" t="n">
        <f aca="false">F10-F18</f>
        <v>5057259.07093542</v>
      </c>
      <c r="G20" s="38" t="n">
        <f aca="false">G10-G18</f>
        <v>6155981.62218676</v>
      </c>
    </row>
    <row r="21" customFormat="false" ht="15" hidden="false" customHeight="false" outlineLevel="0" collapsed="false">
      <c r="A21" s="13" t="s">
        <v>226</v>
      </c>
      <c r="B21" s="11" t="s">
        <v>38</v>
      </c>
      <c r="C21" s="35" t="n">
        <f aca="false">IFERROR(C20/C10,0)</f>
        <v>0.645812057287432</v>
      </c>
      <c r="D21" s="35" t="n">
        <f aca="false">IFERROR(D20/D10,0)</f>
        <v>0.64649823660034</v>
      </c>
      <c r="E21" s="35" t="n">
        <f aca="false">IFERROR(E20/E10,0)</f>
        <v>0.661576956693532</v>
      </c>
      <c r="F21" s="35" t="n">
        <f aca="false">IFERROR(F20/F10,0)</f>
        <v>0.661114540020262</v>
      </c>
      <c r="G21" s="35" t="n">
        <f aca="false">IFERROR(G20/G10,0)</f>
        <v>0.66189187377262</v>
      </c>
    </row>
    <row r="23" customFormat="false" ht="15" hidden="false" customHeight="false" outlineLevel="0" collapsed="false">
      <c r="A23" s="21" t="s">
        <v>227</v>
      </c>
      <c r="B23" s="21"/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13" t="s">
        <v>128</v>
      </c>
      <c r="B24" s="11" t="s">
        <v>36</v>
      </c>
      <c r="C24" s="34" t="n">
        <f aca="false">Assumptions!C60*C10</f>
        <v>528842</v>
      </c>
      <c r="D24" s="34" t="n">
        <f aca="false">Assumptions!D60*D10</f>
        <v>649120.9144</v>
      </c>
      <c r="E24" s="34" t="n">
        <f aca="false">Assumptions!E60*E10</f>
        <v>748708.373505</v>
      </c>
      <c r="F24" s="34" t="n">
        <f aca="false">Assumptions!F60*F10</f>
        <v>841455.548362084</v>
      </c>
      <c r="G24" s="34" t="n">
        <f aca="false">Assumptions!G60*G10</f>
        <v>930058.498391768</v>
      </c>
    </row>
    <row r="25" customFormat="false" ht="15" hidden="false" customHeight="false" outlineLevel="0" collapsed="false">
      <c r="A25" s="13" t="s">
        <v>130</v>
      </c>
      <c r="B25" s="11" t="s">
        <v>36</v>
      </c>
      <c r="C25" s="34" t="n">
        <f aca="false">Assumptions!C61*C10</f>
        <v>264421</v>
      </c>
      <c r="D25" s="34" t="n">
        <f aca="false">Assumptions!D61*D10</f>
        <v>324560.4572</v>
      </c>
      <c r="E25" s="34" t="n">
        <f aca="false">Assumptions!E61*E10</f>
        <v>374354.1867525</v>
      </c>
      <c r="F25" s="34" t="n">
        <f aca="false">Assumptions!F61*F10</f>
        <v>458975.753652046</v>
      </c>
      <c r="G25" s="34" t="n">
        <f aca="false">Assumptions!G61*G10</f>
        <v>465029.249195884</v>
      </c>
    </row>
    <row r="26" customFormat="false" ht="15" hidden="false" customHeight="false" outlineLevel="0" collapsed="false">
      <c r="A26" s="13" t="s">
        <v>132</v>
      </c>
      <c r="B26" s="11" t="s">
        <v>36</v>
      </c>
      <c r="C26" s="34" t="n">
        <f aca="false">Assumptions!C62*'Revenue Build'!C43</f>
        <v>44697.5</v>
      </c>
      <c r="D26" s="34" t="n">
        <f aca="false">Assumptions!D62*'Revenue Build'!D43</f>
        <v>73032.1088</v>
      </c>
      <c r="E26" s="34" t="n">
        <f aca="false">Assumptions!E62*'Revenue Build'!E43</f>
        <v>100439.93463435</v>
      </c>
      <c r="F26" s="34" t="n">
        <f aca="false">Assumptions!F62*'Revenue Build'!F43</f>
        <v>137150.20156411</v>
      </c>
      <c r="G26" s="34" t="n">
        <f aca="false">Assumptions!G62*'Revenue Build'!G43</f>
        <v>151773.689618035</v>
      </c>
    </row>
    <row r="27" customFormat="false" ht="15" hidden="false" customHeight="false" outlineLevel="0" collapsed="false">
      <c r="A27" s="13" t="s">
        <v>228</v>
      </c>
      <c r="B27" s="11" t="s">
        <v>36</v>
      </c>
      <c r="C27" s="34" t="n">
        <f aca="false">Assumptions!C63</f>
        <v>60000</v>
      </c>
      <c r="D27" s="34" t="n">
        <f aca="false">Assumptions!D63</f>
        <v>80000</v>
      </c>
      <c r="E27" s="34" t="n">
        <f aca="false">Assumptions!E63</f>
        <v>100000</v>
      </c>
      <c r="F27" s="34" t="n">
        <f aca="false">Assumptions!F63</f>
        <v>120000</v>
      </c>
      <c r="G27" s="34" t="n">
        <f aca="false">Assumptions!G63</f>
        <v>140000</v>
      </c>
    </row>
    <row r="28" customFormat="false" ht="15" hidden="false" customHeight="false" outlineLevel="0" collapsed="false">
      <c r="A28" s="13" t="s">
        <v>137</v>
      </c>
      <c r="B28" s="11" t="s">
        <v>36</v>
      </c>
      <c r="C28" s="34" t="n">
        <f aca="false">Assumptions!C64*'Revenue Build'!C42</f>
        <v>56930.5</v>
      </c>
      <c r="D28" s="34" t="n">
        <f aca="false">Assumptions!D64*'Revenue Build'!D42</f>
        <v>75503.12</v>
      </c>
      <c r="E28" s="34" t="n">
        <f aca="false">Assumptions!E64*'Revenue Build'!E42</f>
        <v>94824.6218330625</v>
      </c>
      <c r="F28" s="34" t="n">
        <f aca="false">Assumptions!F64*'Revenue Build'!F42</f>
        <v>107902.101265716</v>
      </c>
      <c r="G28" s="34" t="n">
        <f aca="false">Assumptions!G64*'Revenue Build'!G42</f>
        <v>126725.102171309</v>
      </c>
    </row>
    <row r="29" customFormat="false" ht="15" hidden="false" customHeight="false" outlineLevel="0" collapsed="false">
      <c r="A29" s="13" t="s">
        <v>229</v>
      </c>
      <c r="B29" s="11" t="s">
        <v>36</v>
      </c>
      <c r="C29" s="34" t="n">
        <f aca="false">Assumptions!C65*('Revenue Build'!C43+'Revenue Build'!C45)</f>
        <v>15385.35</v>
      </c>
      <c r="D29" s="34" t="n">
        <f aca="false">Assumptions!D65*('Revenue Build'!D43+'Revenue Build'!D45)</f>
        <v>25945.6176</v>
      </c>
      <c r="E29" s="34" t="n">
        <f aca="false">Assumptions!E65*('Revenue Build'!E43+'Revenue Build'!E45)</f>
        <v>41814.6563316</v>
      </c>
      <c r="F29" s="34" t="n">
        <f aca="false">Assumptions!F65*('Revenue Build'!F43+'Revenue Build'!F45)</f>
        <v>59587.2777101454</v>
      </c>
      <c r="G29" s="34" t="n">
        <f aca="false">Assumptions!G65*('Revenue Build'!G43+'Revenue Build'!G45)</f>
        <v>76924.3602653908</v>
      </c>
    </row>
    <row r="30" customFormat="false" ht="15" hidden="false" customHeight="false" outlineLevel="0" collapsed="false">
      <c r="A30" s="29" t="s">
        <v>230</v>
      </c>
      <c r="B30" s="30" t="s">
        <v>36</v>
      </c>
      <c r="C30" s="33" t="n">
        <f aca="false">SUM(C24:C29)</f>
        <v>970276.35</v>
      </c>
      <c r="D30" s="33" t="n">
        <f aca="false">SUM(D24:D29)</f>
        <v>1228162.218</v>
      </c>
      <c r="E30" s="33" t="n">
        <f aca="false">SUM(E24:E29)</f>
        <v>1460141.77305651</v>
      </c>
      <c r="F30" s="33" t="n">
        <f aca="false">SUM(F24:F29)</f>
        <v>1725070.8825541</v>
      </c>
      <c r="G30" s="33" t="n">
        <f aca="false">SUM(G24:G29)</f>
        <v>1890510.89964239</v>
      </c>
    </row>
    <row r="31" customFormat="false" ht="15" hidden="false" customHeight="false" outlineLevel="0" collapsed="false">
      <c r="A31" s="13" t="s">
        <v>231</v>
      </c>
      <c r="B31" s="11" t="s">
        <v>38</v>
      </c>
      <c r="C31" s="35" t="n">
        <f aca="false">IFERROR(C30/C10,0)</f>
        <v>0.293555005086585</v>
      </c>
      <c r="D31" s="35" t="n">
        <f aca="false">IFERROR(D30/D10,0)</f>
        <v>0.264885488520935</v>
      </c>
      <c r="E31" s="35" t="n">
        <f aca="false">IFERROR(E30/E10,0)</f>
        <v>0.23402571544181</v>
      </c>
      <c r="F31" s="35" t="n">
        <f aca="false">IFERROR(F30/F10,0)</f>
        <v>0.225511374249442</v>
      </c>
      <c r="G31" s="35" t="n">
        <f aca="false">IFERROR(G30/G10,0)</f>
        <v>0.2032679560384</v>
      </c>
    </row>
    <row r="33" customFormat="false" ht="15" hidden="false" customHeight="false" outlineLevel="0" collapsed="false">
      <c r="A33" s="21" t="s">
        <v>232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0" collapsed="false">
      <c r="A34" s="13" t="s">
        <v>233</v>
      </c>
      <c r="B34" s="11" t="s">
        <v>36</v>
      </c>
      <c r="C34" s="34" t="n">
        <f aca="false">Assumptions!C68*Assumptions!$C$73*1*(1+Assumptions!C79)</f>
        <v>212400</v>
      </c>
      <c r="D34" s="34" t="n">
        <f aca="false">Assumptions!D68*Assumptions!$C$73*(1+Assumptions!D78)*(1+Assumptions!D79)</f>
        <v>219834</v>
      </c>
      <c r="E34" s="34" t="n">
        <f aca="false">Assumptions!E68*Assumptions!$C$73*(1+Assumptions!D78)*(1+Assumptions!E78)*(1+Assumptions!E79)</f>
        <v>341292.285</v>
      </c>
      <c r="F34" s="34" t="n">
        <f aca="false">Assumptions!F68*Assumptions!$C$73*(1+Assumptions!D78)*(1+Assumptions!E78)*(1+Assumptions!F78)*(1+Assumptions!F79)</f>
        <v>351531.05355</v>
      </c>
      <c r="G34" s="34" t="n">
        <f aca="false">Assumptions!G68*Assumptions!$C$73*(1+Assumptions!D78)*(1+Assumptions!E78)*(1+Assumptions!F78)*(1+Assumptions!G78)*(1+Assumptions!G79)</f>
        <v>362076.9851565</v>
      </c>
    </row>
    <row r="35" customFormat="false" ht="15" hidden="false" customHeight="false" outlineLevel="0" collapsed="false">
      <c r="A35" s="13" t="s">
        <v>234</v>
      </c>
      <c r="B35" s="11" t="s">
        <v>36</v>
      </c>
      <c r="C35" s="34" t="n">
        <f aca="false">Assumptions!C69*Assumptions!$C$74*1*(1+Assumptions!C79)</f>
        <v>159300</v>
      </c>
      <c r="D35" s="34" t="n">
        <f aca="false">Assumptions!D69*Assumptions!$C$74*(1+Assumptions!D78)*(1+Assumptions!D79)</f>
        <v>274792.5</v>
      </c>
      <c r="E35" s="34" t="n">
        <f aca="false">Assumptions!E69*Assumptions!$C$74*(1+Assumptions!D78)*(1+Assumptions!E78)*(1+Assumptions!E79)</f>
        <v>398174.3325</v>
      </c>
      <c r="F35" s="34" t="n">
        <f aca="false">Assumptions!F69*Assumptions!$C$74*(1+Assumptions!D78)*(1+Assumptions!E78)*(1+Assumptions!F78)*(1+Assumptions!F79)</f>
        <v>527296.580325</v>
      </c>
      <c r="G35" s="34" t="n">
        <f aca="false">Assumptions!G69*Assumptions!$C$74*(1+Assumptions!D78)*(1+Assumptions!E78)*(1+Assumptions!F78)*(1+Assumptions!G78)*(1+Assumptions!G79)</f>
        <v>663807.80612025</v>
      </c>
    </row>
    <row r="36" customFormat="false" ht="15" hidden="false" customHeight="false" outlineLevel="0" collapsed="false">
      <c r="A36" s="13" t="s">
        <v>235</v>
      </c>
      <c r="B36" s="11" t="s">
        <v>36</v>
      </c>
      <c r="C36" s="34" t="n">
        <f aca="false">Assumptions!C70*Assumptions!$C$75*1*(1+Assumptions!C79)</f>
        <v>59000</v>
      </c>
      <c r="D36" s="34" t="n">
        <f aca="false">Assumptions!D70*Assumptions!$C$75*(1+Assumptions!D78)*(1+Assumptions!D79)</f>
        <v>122130</v>
      </c>
      <c r="E36" s="34" t="n">
        <f aca="false">Assumptions!E70*Assumptions!$C$75*(1+Assumptions!D78)*(1+Assumptions!E78)*(1+Assumptions!E79)</f>
        <v>189606.825</v>
      </c>
      <c r="F36" s="34" t="n">
        <f aca="false">Assumptions!F70*Assumptions!$C$75*(1+Assumptions!D78)*(1+Assumptions!E78)*(1+Assumptions!F78)*(1+Assumptions!F79)</f>
        <v>260393.373</v>
      </c>
      <c r="G36" s="34" t="n">
        <f aca="false">Assumptions!G70*Assumptions!$C$75*(1+Assumptions!D78)*(1+Assumptions!E78)*(1+Assumptions!F78)*(1+Assumptions!G78)*(1+Assumptions!G79)</f>
        <v>268205.17419</v>
      </c>
    </row>
    <row r="37" customFormat="false" ht="15" hidden="false" customHeight="false" outlineLevel="0" collapsed="false">
      <c r="A37" s="13" t="s">
        <v>236</v>
      </c>
      <c r="B37" s="11" t="s">
        <v>36</v>
      </c>
      <c r="C37" s="34" t="n">
        <f aca="false">Assumptions!C71*Assumptions!$C$76*1*(1+Assumptions!C79)</f>
        <v>47200</v>
      </c>
      <c r="D37" s="34" t="n">
        <f aca="false">Assumptions!D71*Assumptions!$C$76*(1+Assumptions!D78)*(1+Assumptions!D79)</f>
        <v>97704</v>
      </c>
      <c r="E37" s="34" t="n">
        <f aca="false">Assumptions!E71*Assumptions!$C$76*(1+Assumptions!D78)*(1+Assumptions!E78)*(1+Assumptions!E79)</f>
        <v>151685.46</v>
      </c>
      <c r="F37" s="34" t="n">
        <f aca="false">Assumptions!F71*Assumptions!$C$76*(1+Assumptions!D78)*(1+Assumptions!E78)*(1+Assumptions!F78)*(1+Assumptions!F79)</f>
        <v>208314.6984</v>
      </c>
      <c r="G37" s="34" t="n">
        <f aca="false">Assumptions!G71*Assumptions!$C$76*(1+Assumptions!D78)*(1+Assumptions!E78)*(1+Assumptions!F78)*(1+Assumptions!G78)*(1+Assumptions!G79)</f>
        <v>268205.17419</v>
      </c>
    </row>
    <row r="38" customFormat="false" ht="15" hidden="false" customHeight="false" outlineLevel="0" collapsed="false">
      <c r="A38" s="13" t="s">
        <v>237</v>
      </c>
      <c r="B38" s="11" t="s">
        <v>36</v>
      </c>
      <c r="C38" s="34" t="n">
        <f aca="false">Assumptions!C72*Assumptions!$C$77*1*(1+Assumptions!C79)</f>
        <v>49560</v>
      </c>
      <c r="D38" s="34" t="n">
        <f aca="false">Assumptions!D72*Assumptions!$C$77*(1+Assumptions!D78)*(1+Assumptions!D79)</f>
        <v>51294.6</v>
      </c>
      <c r="E38" s="34" t="n">
        <f aca="false">Assumptions!E72*Assumptions!$C$77*(1+Assumptions!D78)*(1+Assumptions!E78)*(1+Assumptions!E79)</f>
        <v>106179.822</v>
      </c>
      <c r="F38" s="34" t="n">
        <f aca="false">Assumptions!F72*Assumptions!$C$77*(1+Assumptions!D78)*(1+Assumptions!E78)*(1+Assumptions!F78)*(1+Assumptions!F79)</f>
        <v>164047.82499</v>
      </c>
      <c r="G38" s="34" t="n">
        <f aca="false">Assumptions!G72*Assumptions!$C$77*(1+Assumptions!D78)*(1+Assumptions!E78)*(1+Assumptions!F78)*(1+Assumptions!G78)*(1+Assumptions!G79)</f>
        <v>168969.2597397</v>
      </c>
    </row>
    <row r="39" customFormat="false" ht="15" hidden="false" customHeight="false" outlineLevel="0" collapsed="false">
      <c r="A39" s="13" t="s">
        <v>161</v>
      </c>
      <c r="B39" s="11" t="s">
        <v>36</v>
      </c>
      <c r="C39" s="34" t="n">
        <f aca="false">Assumptions!C80</f>
        <v>40000</v>
      </c>
      <c r="D39" s="34" t="n">
        <f aca="false">Assumptions!D80</f>
        <v>50000</v>
      </c>
      <c r="E39" s="34" t="n">
        <f aca="false">Assumptions!E80</f>
        <v>60000</v>
      </c>
      <c r="F39" s="34" t="n">
        <f aca="false">Assumptions!F80</f>
        <v>70000</v>
      </c>
      <c r="G39" s="34" t="n">
        <f aca="false">Assumptions!G80</f>
        <v>80000</v>
      </c>
    </row>
    <row r="40" customFormat="false" ht="15" hidden="false" customHeight="false" outlineLevel="0" collapsed="false">
      <c r="A40" s="29" t="s">
        <v>238</v>
      </c>
      <c r="B40" s="30" t="s">
        <v>36</v>
      </c>
      <c r="C40" s="33" t="n">
        <f aca="false">SUM(C34:C39)</f>
        <v>567460</v>
      </c>
      <c r="D40" s="33" t="n">
        <f aca="false">SUM(D34:D39)</f>
        <v>815755.1</v>
      </c>
      <c r="E40" s="33" t="n">
        <f aca="false">SUM(E34:E39)</f>
        <v>1246938.7245</v>
      </c>
      <c r="F40" s="33" t="n">
        <f aca="false">SUM(F34:F39)</f>
        <v>1581583.530265</v>
      </c>
      <c r="G40" s="33" t="n">
        <f aca="false">SUM(G34:G39)</f>
        <v>1811264.39939645</v>
      </c>
    </row>
    <row r="41" customFormat="false" ht="15" hidden="false" customHeight="false" outlineLevel="0" collapsed="false">
      <c r="A41" s="13" t="s">
        <v>239</v>
      </c>
      <c r="B41" s="11" t="s">
        <v>48</v>
      </c>
      <c r="C41" s="15" t="n">
        <f aca="false">SUM(Assumptions!C68:C72)</f>
        <v>8</v>
      </c>
      <c r="D41" s="15" t="n">
        <f aca="false">SUM(Assumptions!D68:D72)</f>
        <v>12</v>
      </c>
      <c r="E41" s="15" t="n">
        <f aca="false">SUM(Assumptions!E68:E72)</f>
        <v>18</v>
      </c>
      <c r="F41" s="15" t="n">
        <f aca="false">SUM(Assumptions!F68:F72)</f>
        <v>23</v>
      </c>
      <c r="G41" s="15" t="n">
        <f aca="false">SUM(Assumptions!G68:G72)</f>
        <v>26</v>
      </c>
    </row>
    <row r="43" customFormat="false" ht="15" hidden="false" customHeight="false" outlineLevel="0" collapsed="false">
      <c r="A43" s="21" t="s">
        <v>240</v>
      </c>
      <c r="B43" s="21"/>
      <c r="C43" s="21"/>
      <c r="D43" s="21"/>
      <c r="E43" s="21"/>
      <c r="F43" s="21"/>
      <c r="G43" s="21"/>
      <c r="H43" s="21"/>
    </row>
    <row r="44" customFormat="false" ht="15" hidden="false" customHeight="false" outlineLevel="0" collapsed="false">
      <c r="A44" s="13" t="s">
        <v>163</v>
      </c>
      <c r="B44" s="11" t="s">
        <v>36</v>
      </c>
      <c r="C44" s="34" t="n">
        <f aca="false">Assumptions!C83</f>
        <v>50000</v>
      </c>
      <c r="D44" s="34" t="n">
        <f aca="false">Assumptions!D83</f>
        <v>70000</v>
      </c>
      <c r="E44" s="34" t="n">
        <f aca="false">Assumptions!E83</f>
        <v>90000</v>
      </c>
      <c r="F44" s="34" t="n">
        <f aca="false">Assumptions!F83</f>
        <v>110000</v>
      </c>
      <c r="G44" s="34" t="n">
        <f aca="false">Assumptions!G83</f>
        <v>130000</v>
      </c>
    </row>
    <row r="45" customFormat="false" ht="15" hidden="false" customHeight="false" outlineLevel="0" collapsed="false">
      <c r="A45" s="13" t="s">
        <v>165</v>
      </c>
      <c r="B45" s="11" t="s">
        <v>36</v>
      </c>
      <c r="C45" s="34" t="n">
        <f aca="false">Assumptions!C84</f>
        <v>25000</v>
      </c>
      <c r="D45" s="34" t="n">
        <f aca="false">Assumptions!D84</f>
        <v>30000</v>
      </c>
      <c r="E45" s="34" t="n">
        <f aca="false">Assumptions!E84</f>
        <v>40000</v>
      </c>
      <c r="F45" s="34" t="n">
        <f aca="false">Assumptions!F84</f>
        <v>45000</v>
      </c>
      <c r="G45" s="34" t="n">
        <f aca="false">Assumptions!G84</f>
        <v>50000</v>
      </c>
    </row>
    <row r="46" customFormat="false" ht="15" hidden="false" customHeight="false" outlineLevel="0" collapsed="false">
      <c r="A46" s="13" t="s">
        <v>167</v>
      </c>
      <c r="B46" s="11" t="s">
        <v>36</v>
      </c>
      <c r="C46" s="34" t="n">
        <f aca="false">Assumptions!C85</f>
        <v>30000</v>
      </c>
      <c r="D46" s="34" t="n">
        <f aca="false">Assumptions!D85</f>
        <v>40000</v>
      </c>
      <c r="E46" s="34" t="n">
        <f aca="false">Assumptions!E85</f>
        <v>60000</v>
      </c>
      <c r="F46" s="34" t="n">
        <f aca="false">Assumptions!F85</f>
        <v>60000</v>
      </c>
      <c r="G46" s="34" t="n">
        <f aca="false">Assumptions!G85</f>
        <v>80000</v>
      </c>
    </row>
    <row r="47" customFormat="false" ht="15" hidden="false" customHeight="false" outlineLevel="0" collapsed="false">
      <c r="A47" s="13" t="s">
        <v>169</v>
      </c>
      <c r="B47" s="11" t="s">
        <v>36</v>
      </c>
      <c r="C47" s="34" t="n">
        <f aca="false">Assumptions!C86</f>
        <v>25000</v>
      </c>
      <c r="D47" s="34" t="n">
        <f aca="false">Assumptions!D86</f>
        <v>35000</v>
      </c>
      <c r="E47" s="34" t="n">
        <f aca="false">Assumptions!E86</f>
        <v>45000</v>
      </c>
      <c r="F47" s="34" t="n">
        <f aca="false">Assumptions!F86</f>
        <v>55000</v>
      </c>
      <c r="G47" s="34" t="n">
        <f aca="false">Assumptions!G86</f>
        <v>65000</v>
      </c>
    </row>
    <row r="48" customFormat="false" ht="15" hidden="false" customHeight="false" outlineLevel="0" collapsed="false">
      <c r="A48" s="13" t="s">
        <v>171</v>
      </c>
      <c r="B48" s="11" t="s">
        <v>36</v>
      </c>
      <c r="C48" s="34" t="n">
        <f aca="false">Assumptions!C87</f>
        <v>30000</v>
      </c>
      <c r="D48" s="34" t="n">
        <f aca="false">Assumptions!D87</f>
        <v>35000</v>
      </c>
      <c r="E48" s="34" t="n">
        <f aca="false">Assumptions!E87</f>
        <v>40000</v>
      </c>
      <c r="F48" s="34" t="n">
        <f aca="false">Assumptions!F87</f>
        <v>45000</v>
      </c>
      <c r="G48" s="34" t="n">
        <f aca="false">Assumptions!G87</f>
        <v>50000</v>
      </c>
    </row>
    <row r="49" customFormat="false" ht="15" hidden="false" customHeight="false" outlineLevel="0" collapsed="false">
      <c r="A49" s="13" t="s">
        <v>172</v>
      </c>
      <c r="B49" s="11" t="s">
        <v>36</v>
      </c>
      <c r="C49" s="34" t="n">
        <f aca="false">Assumptions!C88</f>
        <v>10000</v>
      </c>
      <c r="D49" s="34" t="n">
        <f aca="false">Assumptions!D88</f>
        <v>12000</v>
      </c>
      <c r="E49" s="34" t="n">
        <f aca="false">Assumptions!E88</f>
        <v>15000</v>
      </c>
      <c r="F49" s="34" t="n">
        <f aca="false">Assumptions!F88</f>
        <v>18000</v>
      </c>
      <c r="G49" s="34" t="n">
        <f aca="false">Assumptions!G88</f>
        <v>20000</v>
      </c>
    </row>
    <row r="50" customFormat="false" ht="15" hidden="false" customHeight="false" outlineLevel="0" collapsed="false">
      <c r="A50" s="13" t="s">
        <v>174</v>
      </c>
      <c r="B50" s="11" t="s">
        <v>36</v>
      </c>
      <c r="C50" s="34" t="n">
        <f aca="false">Assumptions!C89</f>
        <v>15000</v>
      </c>
      <c r="D50" s="34" t="n">
        <f aca="false">Assumptions!D89</f>
        <v>25000</v>
      </c>
      <c r="E50" s="34" t="n">
        <f aca="false">Assumptions!E89</f>
        <v>35000</v>
      </c>
      <c r="F50" s="34" t="n">
        <f aca="false">Assumptions!F89</f>
        <v>45000</v>
      </c>
      <c r="G50" s="34" t="n">
        <f aca="false">Assumptions!G89</f>
        <v>50000</v>
      </c>
    </row>
    <row r="51" customFormat="false" ht="15" hidden="false" customHeight="false" outlineLevel="0" collapsed="false">
      <c r="A51" s="13" t="s">
        <v>175</v>
      </c>
      <c r="B51" s="11" t="s">
        <v>36</v>
      </c>
      <c r="C51" s="34" t="n">
        <f aca="false">Assumptions!C90</f>
        <v>20000</v>
      </c>
      <c r="D51" s="34" t="n">
        <f aca="false">Assumptions!D90</f>
        <v>25000</v>
      </c>
      <c r="E51" s="34" t="n">
        <f aca="false">Assumptions!E90</f>
        <v>30000</v>
      </c>
      <c r="F51" s="34" t="n">
        <f aca="false">Assumptions!F90</f>
        <v>35000</v>
      </c>
      <c r="G51" s="34" t="n">
        <f aca="false">Assumptions!G90</f>
        <v>40000</v>
      </c>
    </row>
    <row r="52" customFormat="false" ht="15" hidden="false" customHeight="false" outlineLevel="0" collapsed="false">
      <c r="A52" s="29" t="s">
        <v>241</v>
      </c>
      <c r="B52" s="30" t="s">
        <v>36</v>
      </c>
      <c r="C52" s="33" t="n">
        <f aca="false">SUM(C44:C51)</f>
        <v>205000</v>
      </c>
      <c r="D52" s="33" t="n">
        <f aca="false">SUM(D44:D51)</f>
        <v>272000</v>
      </c>
      <c r="E52" s="33" t="n">
        <f aca="false">SUM(E44:E51)</f>
        <v>355000</v>
      </c>
      <c r="F52" s="33" t="n">
        <f aca="false">SUM(F44:F51)</f>
        <v>413000</v>
      </c>
      <c r="G52" s="33" t="n">
        <f aca="false">SUM(G44:G51)</f>
        <v>485000</v>
      </c>
    </row>
    <row r="54" customFormat="false" ht="15" hidden="false" customHeight="false" outlineLevel="0" collapsed="false">
      <c r="A54" s="3" t="s">
        <v>41</v>
      </c>
      <c r="B54" s="11" t="s">
        <v>36</v>
      </c>
      <c r="C54" s="39" t="n">
        <f aca="false">C30+C40+C52</f>
        <v>1742736.35</v>
      </c>
      <c r="D54" s="39" t="n">
        <f aca="false">D30+D40+D52</f>
        <v>2315917.318</v>
      </c>
      <c r="E54" s="39" t="n">
        <f aca="false">E30+E40+E52</f>
        <v>3062080.49755651</v>
      </c>
      <c r="F54" s="39" t="n">
        <f aca="false">F30+F40+F52</f>
        <v>3719654.4128191</v>
      </c>
      <c r="G54" s="39" t="n">
        <f aca="false">G30+G40+G52</f>
        <v>4186775.29903884</v>
      </c>
    </row>
    <row r="56" customFormat="false" ht="15" hidden="false" customHeight="false" outlineLevel="0" collapsed="false">
      <c r="A56" s="36" t="s">
        <v>42</v>
      </c>
      <c r="B56" s="37" t="s">
        <v>36</v>
      </c>
      <c r="C56" s="38" t="n">
        <f aca="false">C20-C54</f>
        <v>391842.025</v>
      </c>
      <c r="D56" s="38" t="n">
        <f aca="false">D20-D54</f>
        <v>681622.157</v>
      </c>
      <c r="E56" s="38" t="n">
        <f aca="false">E20-E54</f>
        <v>1065654.56239684</v>
      </c>
      <c r="F56" s="38" t="n">
        <f aca="false">F20-F54</f>
        <v>1337604.65811632</v>
      </c>
      <c r="G56" s="38" t="n">
        <f aca="false">G20-G54</f>
        <v>1969206.32314793</v>
      </c>
    </row>
    <row r="57" customFormat="false" ht="15" hidden="false" customHeight="false" outlineLevel="0" collapsed="false">
      <c r="A57" s="13" t="s">
        <v>242</v>
      </c>
      <c r="B57" s="11" t="s">
        <v>38</v>
      </c>
      <c r="C57" s="35" t="n">
        <f aca="false">IFERROR(C56/C10,0)</f>
        <v>0.118550954727499</v>
      </c>
      <c r="D57" s="35" t="n">
        <f aca="false">IFERROR(D56/D10,0)</f>
        <v>0.147009747896054</v>
      </c>
      <c r="E57" s="35" t="n">
        <f aca="false">IFERROR(E56/E10,0)</f>
        <v>0.170798874452239</v>
      </c>
      <c r="F57" s="35" t="n">
        <f aca="false">IFERROR(F56/F10,0)</f>
        <v>0.174859518936206</v>
      </c>
      <c r="G57" s="35" t="n">
        <f aca="false">IFERROR(G56/G10,0)</f>
        <v>0.211729297302592</v>
      </c>
    </row>
    <row r="58" customFormat="false" ht="15" hidden="false" customHeight="false" outlineLevel="0" collapsed="false">
      <c r="A58" s="13" t="s">
        <v>243</v>
      </c>
      <c r="B58" s="11" t="s">
        <v>36</v>
      </c>
      <c r="C58" s="34" t="n">
        <f aca="false">SUM(Assumptions!$C$93:C93)/Assumptions!$C$94</f>
        <v>12000</v>
      </c>
      <c r="D58" s="34" t="n">
        <f aca="false">SUM(Assumptions!$C$93:D93)/Assumptions!$C$94</f>
        <v>20000</v>
      </c>
      <c r="E58" s="34" t="n">
        <f aca="false">SUM(Assumptions!$C$93:E93)/Assumptions!$C$94</f>
        <v>36000</v>
      </c>
      <c r="F58" s="34" t="n">
        <f aca="false">SUM(Assumptions!$C$93:F93)/Assumptions!$C$94</f>
        <v>48000</v>
      </c>
      <c r="G58" s="34" t="n">
        <f aca="false">SUM(Assumptions!$C$93:G93)/Assumptions!$C$94</f>
        <v>64000</v>
      </c>
      <c r="H58" s="23" t="s">
        <v>244</v>
      </c>
    </row>
    <row r="59" customFormat="false" ht="15" hidden="false" customHeight="false" outlineLevel="0" collapsed="false">
      <c r="A59" s="29" t="s">
        <v>245</v>
      </c>
      <c r="B59" s="30" t="s">
        <v>36</v>
      </c>
      <c r="C59" s="33" t="n">
        <f aca="false">C56-C58</f>
        <v>379842.025</v>
      </c>
      <c r="D59" s="33" t="n">
        <f aca="false">D56-D58</f>
        <v>661622.157</v>
      </c>
      <c r="E59" s="33" t="n">
        <f aca="false">E56-E58</f>
        <v>1029654.56239684</v>
      </c>
      <c r="F59" s="33" t="n">
        <f aca="false">F56-F58</f>
        <v>1289604.65811632</v>
      </c>
      <c r="G59" s="33" t="n">
        <f aca="false">G56-G58</f>
        <v>1905206.32314793</v>
      </c>
    </row>
    <row r="60" customFormat="false" ht="15" hidden="false" customHeight="false" outlineLevel="0" collapsed="false">
      <c r="A60" s="13" t="s">
        <v>183</v>
      </c>
      <c r="B60" s="11" t="s">
        <v>36</v>
      </c>
      <c r="C60" s="34" t="n">
        <f aca="false">Assumptions!C95</f>
        <v>15000</v>
      </c>
      <c r="D60" s="34" t="n">
        <f aca="false">Assumptions!D95</f>
        <v>15000</v>
      </c>
      <c r="E60" s="34" t="n">
        <f aca="false">Assumptions!E95</f>
        <v>12000</v>
      </c>
      <c r="F60" s="34" t="n">
        <f aca="false">Assumptions!F95</f>
        <v>9000</v>
      </c>
      <c r="G60" s="34" t="n">
        <f aca="false">Assumptions!G95</f>
        <v>6000</v>
      </c>
    </row>
    <row r="61" customFormat="false" ht="15" hidden="false" customHeight="false" outlineLevel="0" collapsed="false">
      <c r="A61" s="29" t="s">
        <v>246</v>
      </c>
      <c r="B61" s="30" t="s">
        <v>36</v>
      </c>
      <c r="C61" s="33" t="n">
        <f aca="false">C59-C60</f>
        <v>364842.025</v>
      </c>
      <c r="D61" s="33" t="n">
        <f aca="false">D59-D60</f>
        <v>646622.157</v>
      </c>
      <c r="E61" s="33" t="n">
        <f aca="false">E59-E60</f>
        <v>1017654.56239684</v>
      </c>
      <c r="F61" s="33" t="n">
        <f aca="false">F59-F60</f>
        <v>1280604.65811632</v>
      </c>
      <c r="G61" s="33" t="n">
        <f aca="false">G59-G60</f>
        <v>1899206.32314793</v>
      </c>
    </row>
    <row r="62" customFormat="false" ht="15" hidden="false" customHeight="false" outlineLevel="0" collapsed="false">
      <c r="A62" s="13" t="s">
        <v>247</v>
      </c>
      <c r="B62" s="11" t="s">
        <v>36</v>
      </c>
      <c r="C62" s="34" t="n">
        <f aca="false">MAX(0,C61)*Assumptions!C96</f>
        <v>91210.50625</v>
      </c>
      <c r="D62" s="34" t="n">
        <f aca="false">MAX(0,D61)*Assumptions!D96</f>
        <v>161655.53925</v>
      </c>
      <c r="E62" s="34" t="n">
        <f aca="false">MAX(0,E61)*Assumptions!E96</f>
        <v>254413.640599209</v>
      </c>
      <c r="F62" s="34" t="n">
        <f aca="false">MAX(0,F61)*Assumptions!F96</f>
        <v>320151.164529081</v>
      </c>
      <c r="G62" s="34" t="n">
        <f aca="false">MAX(0,G61)*Assumptions!G96</f>
        <v>474801.580786981</v>
      </c>
      <c r="H62" s="23" t="s">
        <v>248</v>
      </c>
    </row>
    <row r="63" customFormat="false" ht="15" hidden="false" customHeight="false" outlineLevel="0" collapsed="false">
      <c r="A63" s="40" t="s">
        <v>44</v>
      </c>
      <c r="B63" s="41" t="s">
        <v>36</v>
      </c>
      <c r="C63" s="42" t="n">
        <f aca="false">C61-C62</f>
        <v>273631.51875</v>
      </c>
      <c r="D63" s="42" t="n">
        <f aca="false">D61-D62</f>
        <v>484966.61775</v>
      </c>
      <c r="E63" s="42" t="n">
        <f aca="false">E61-E62</f>
        <v>763240.921797628</v>
      </c>
      <c r="F63" s="42" t="n">
        <f aca="false">F61-F62</f>
        <v>960453.493587242</v>
      </c>
      <c r="G63" s="42" t="n">
        <f aca="false">G61-G62</f>
        <v>1424404.74236094</v>
      </c>
    </row>
    <row r="64" customFormat="false" ht="15" hidden="false" customHeight="false" outlineLevel="0" collapsed="false">
      <c r="A64" s="13" t="s">
        <v>249</v>
      </c>
      <c r="B64" s="11" t="s">
        <v>38</v>
      </c>
      <c r="C64" s="35" t="n">
        <f aca="false">IFERROR(C63/C10,0)</f>
        <v>0.082786622469471</v>
      </c>
      <c r="D64" s="35" t="n">
        <f aca="false">IFERROR(D63/D10,0)</f>
        <v>0.10459580792857</v>
      </c>
      <c r="E64" s="35" t="n">
        <f aca="false">IFERROR(E63/E10,0)</f>
        <v>0.122329219034845</v>
      </c>
      <c r="F64" s="35" t="n">
        <f aca="false">IFERROR(F63/F10,0)</f>
        <v>0.125556108697895</v>
      </c>
      <c r="G64" s="35" t="n">
        <f aca="false">IFERROR(G63/G10,0)</f>
        <v>0.15315216675338</v>
      </c>
    </row>
    <row r="65" customFormat="false" ht="15" hidden="false" customHeight="false" outlineLevel="0" collapsed="false">
      <c r="A65" s="13" t="s">
        <v>46</v>
      </c>
      <c r="B65" s="11" t="s">
        <v>36</v>
      </c>
      <c r="C65" s="32" t="n">
        <f aca="false">SUM($C63:C63)</f>
        <v>273631.51875</v>
      </c>
      <c r="D65" s="32" t="n">
        <f aca="false">SUM($C63:D63)</f>
        <v>758598.1365</v>
      </c>
      <c r="E65" s="32" t="n">
        <f aca="false">SUM($C63:E63)</f>
        <v>1521839.05829763</v>
      </c>
      <c r="F65" s="32" t="n">
        <f aca="false">SUM($C63:F63)</f>
        <v>2482292.55188487</v>
      </c>
      <c r="G65" s="32" t="n">
        <f aca="false">SUM($C63:G63)</f>
        <v>3906697.29424581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2026-10-28T13:04:13Z</dcterms:created>
  <dc:creator>openpyxl</dc:creator>
  <dc:description/>
  <dc:language>en-US</dc:language>
  <cp:lastModifiedBy/>
  <dcterms:modified xsi:type="dcterms:W3CDTF">2026-10-28T13:04:15Z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